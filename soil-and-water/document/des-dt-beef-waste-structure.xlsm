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20" windowWidth="15195" windowHeight="8700" activeTab="1"/>
  </bookViews>
  <sheets>
    <sheet name="Instructions" sheetId="5" r:id="rId1"/>
    <sheet name="Structure Sizing Data" sheetId="1" r:id="rId2"/>
    <sheet name="Tables" sheetId="4" state="hidden" r:id="rId3"/>
  </sheets>
  <definedNames>
    <definedName name="_xlnm.Print_Area" localSheetId="1">'Structure Sizing Data'!$A$1:$O$59</definedName>
  </definedNames>
  <calcPr calcId="145621"/>
</workbook>
</file>

<file path=xl/calcChain.xml><?xml version="1.0" encoding="utf-8"?>
<calcChain xmlns="http://schemas.openxmlformats.org/spreadsheetml/2006/main">
  <c r="F55" i="1" l="1"/>
  <c r="F53" i="1"/>
  <c r="C57" i="1"/>
  <c r="N57" i="1"/>
  <c r="C55" i="1"/>
  <c r="N55" i="1"/>
  <c r="C53" i="1"/>
  <c r="N53" i="1"/>
  <c r="F57" i="1"/>
  <c r="N50" i="1"/>
  <c r="K47" i="1"/>
  <c r="I47" i="1"/>
  <c r="C47" i="1"/>
  <c r="N47" i="1"/>
  <c r="A47" i="1"/>
  <c r="K45" i="1"/>
  <c r="I45" i="1"/>
  <c r="C44" i="1"/>
  <c r="A44" i="1"/>
  <c r="N44" i="1"/>
  <c r="N45" i="1"/>
  <c r="K44" i="1"/>
  <c r="I44" i="1"/>
  <c r="K42" i="1"/>
  <c r="I42" i="1"/>
  <c r="C41" i="1"/>
  <c r="A41" i="1"/>
  <c r="N41" i="1"/>
  <c r="N42" i="1"/>
  <c r="K41" i="1"/>
  <c r="I41" i="1"/>
  <c r="K39" i="1"/>
  <c r="I39" i="1"/>
  <c r="C38" i="1"/>
  <c r="A38" i="1"/>
  <c r="N38" i="1"/>
  <c r="N39" i="1"/>
  <c r="K38" i="1"/>
  <c r="I38" i="1"/>
  <c r="M11" i="1"/>
  <c r="C9" i="1"/>
  <c r="N59" i="1"/>
</calcChain>
</file>

<file path=xl/sharedStrings.xml><?xml version="1.0" encoding="utf-8"?>
<sst xmlns="http://schemas.openxmlformats.org/spreadsheetml/2006/main" count="225" uniqueCount="130">
  <si>
    <t>Cooperator:</t>
  </si>
  <si>
    <t>Service Center:</t>
  </si>
  <si>
    <t>Conservation District:</t>
  </si>
  <si>
    <t>Assisted By:</t>
  </si>
  <si>
    <t>Tract Number:</t>
  </si>
  <si>
    <t>Field Number:</t>
  </si>
  <si>
    <t>Date:</t>
  </si>
  <si>
    <t>Storage Period:</t>
  </si>
  <si>
    <t>days</t>
  </si>
  <si>
    <t>Average weight:</t>
  </si>
  <si>
    <t>% confinement:</t>
  </si>
  <si>
    <t>for</t>
  </si>
  <si>
    <t>Replacement Heifers:</t>
  </si>
  <si>
    <t>Calves:</t>
  </si>
  <si>
    <t>Other:</t>
  </si>
  <si>
    <t>cubic feet</t>
  </si>
  <si>
    <t>inches</t>
  </si>
  <si>
    <t>I. Manure Production:</t>
  </si>
  <si>
    <t>animal units</t>
  </si>
  <si>
    <t>X</t>
  </si>
  <si>
    <t>1.0 cf/AU/day</t>
  </si>
  <si>
    <t>=</t>
  </si>
  <si>
    <t xml:space="preserve"> </t>
  </si>
  <si>
    <t>SWCD's</t>
  </si>
  <si>
    <t>Appomattox River SWCD</t>
  </si>
  <si>
    <t>Big Walker SWCD</t>
  </si>
  <si>
    <t>Blue Ridge SWCD</t>
  </si>
  <si>
    <t>Clinch Valley SWCD</t>
  </si>
  <si>
    <t>Colonial SWCD</t>
  </si>
  <si>
    <t>Culpeper SWCD</t>
  </si>
  <si>
    <t>Daniel Boone SWCD</t>
  </si>
  <si>
    <t>Eastern Shore SWCD</t>
  </si>
  <si>
    <t>Evergreen SWCD</t>
  </si>
  <si>
    <t>Halifax SWCD</t>
  </si>
  <si>
    <t>Hanover-Caroline SWCD</t>
  </si>
  <si>
    <t>Headwaters SWCD</t>
  </si>
  <si>
    <t>Henricropolis SWCD</t>
  </si>
  <si>
    <t>Holston River SWCD</t>
  </si>
  <si>
    <t>J.R. Horsley SWCD</t>
  </si>
  <si>
    <t>James River SWCD</t>
  </si>
  <si>
    <t>John Marshall SWCD</t>
  </si>
  <si>
    <t>Lake Country SWCD</t>
  </si>
  <si>
    <t>Lonesome Pine SWCD</t>
  </si>
  <si>
    <t>Lord Fairfax SWCD</t>
  </si>
  <si>
    <t>Loudoun SWCD</t>
  </si>
  <si>
    <t>Monacan SWCD</t>
  </si>
  <si>
    <t>Mountain SWCD</t>
  </si>
  <si>
    <t>Mountain Castles SWCD</t>
  </si>
  <si>
    <t>Natural Bridge SWCD</t>
  </si>
  <si>
    <t>Natural Tunnel SWCD</t>
  </si>
  <si>
    <t>New River SWCD</t>
  </si>
  <si>
    <t>Northern Neck SWCD</t>
  </si>
  <si>
    <t>Northern Virginia SWCD</t>
  </si>
  <si>
    <t>Patrick SWCD</t>
  </si>
  <si>
    <t>Peaks of Otter SWCD</t>
  </si>
  <si>
    <t>Peanut SWCD</t>
  </si>
  <si>
    <t>Peter Franscisco SWCD</t>
  </si>
  <si>
    <t>Piedmont SWCD</t>
  </si>
  <si>
    <t>Pittsylvania SWCD</t>
  </si>
  <si>
    <t>Prince William SWCD</t>
  </si>
  <si>
    <t>Robert E. Lee SWCD</t>
  </si>
  <si>
    <t>Shenadoah Valley SWCD</t>
  </si>
  <si>
    <t>Skyline SWCD</t>
  </si>
  <si>
    <t>Southside SWCD</t>
  </si>
  <si>
    <t>Tazewell SWCD</t>
  </si>
  <si>
    <t>Thomas Jefferson SWCD</t>
  </si>
  <si>
    <t>Three Rivers SWCD</t>
  </si>
  <si>
    <t>Tidewater SWCD</t>
  </si>
  <si>
    <t>Tri-County SWCD</t>
  </si>
  <si>
    <t>Virginia Dare SWCD</t>
  </si>
  <si>
    <t xml:space="preserve"> % confinement:</t>
  </si>
  <si>
    <t>Number of Cows:</t>
  </si>
  <si>
    <t>Other   X</t>
  </si>
  <si>
    <t>III. Runoff:</t>
  </si>
  <si>
    <t>Calves   X</t>
  </si>
  <si>
    <t>Cows   X</t>
  </si>
  <si>
    <t>Heifers   X</t>
  </si>
  <si>
    <t>square feet</t>
  </si>
  <si>
    <t>Subtotal of I-III</t>
  </si>
  <si>
    <t>1.</t>
  </si>
  <si>
    <t>2.</t>
  </si>
  <si>
    <t>3.</t>
  </si>
  <si>
    <t>4.</t>
  </si>
  <si>
    <t>5.</t>
  </si>
  <si>
    <t>6.</t>
  </si>
  <si>
    <t>7.</t>
  </si>
  <si>
    <t>8.</t>
  </si>
  <si>
    <t>9.</t>
  </si>
  <si>
    <t>10.</t>
  </si>
  <si>
    <t>Enter the tract and field numbers in the spaces provided.</t>
  </si>
  <si>
    <t>Enter the name of the person assisting the cooperator in the space provided.</t>
  </si>
  <si>
    <t>Select the appropriate conservation district from the pull-down list.</t>
  </si>
  <si>
    <t>Enter the service center name in the space provided.</t>
  </si>
  <si>
    <t>Enter the cooperator's name in the space provided.</t>
  </si>
  <si>
    <t>These spreadsheets are intended to be used for beef waste only.</t>
  </si>
  <si>
    <t>11.</t>
  </si>
  <si>
    <t>25-year, 24-hour storm rainfall depth</t>
  </si>
  <si>
    <t>days in the spaces provided.  The total number of days for each animal type must add up to equal the storage period entered in step 6 above.</t>
  </si>
  <si>
    <t>Enter the total number of cows, heifers, calves, or other with the corresponding average weights in the spaces provided.  Enter the % confinement and corresponding</t>
  </si>
  <si>
    <t>possible.</t>
  </si>
  <si>
    <t>Enter the bedding volume that can be expected during the storage period in the space provided.  This information should be obtained from the cooperator whenever</t>
  </si>
  <si>
    <t>12.</t>
  </si>
  <si>
    <t>Enter the 25-year, 24-hour storm rainfall depth in the space provided.  This information should be obtained from the Engineering Field Handbook, Chapter 2.</t>
  </si>
  <si>
    <t xml:space="preserve">Once all of the data in the above steps is entered, the spreadsheet will calculate the volume of waste.  This waste volume does not include direct rainfall on the </t>
  </si>
  <si>
    <t>Enter the waste storage period in the space provided.  The minimum storage period shall be a minimum of 120 days.</t>
  </si>
  <si>
    <t>Instructions for using the "Structure Sizing Data" spreadsheet</t>
  </si>
  <si>
    <t>General information about this spreadsheet:</t>
  </si>
  <si>
    <t>All areas highlighted in yellow on the spreadsheet are items that must be inputted.</t>
  </si>
  <si>
    <t>All areas highlighted in blue on the spreadsheet are items that have been calculated.</t>
  </si>
  <si>
    <t>The sizing calculations performed in this spreadsheet are in accordance with Virginia Conservation Practice Standard 313 " Waste Storage Facility".</t>
  </si>
  <si>
    <t>proposed structure.</t>
  </si>
  <si>
    <t>II. Bedding &amp; Feed Waste:</t>
  </si>
  <si>
    <t>Bedding &amp; Feed Waste volumes should be obtained directly from cooperator where possible and entered above:</t>
  </si>
  <si>
    <t>Enter the feed waste volume that can be expected during the storage period in the space provided.  This information should be obtained from the cooperator</t>
  </si>
  <si>
    <t>whenever possible.</t>
  </si>
  <si>
    <t>Enter feed waste volume for the planned storage period here</t>
  </si>
  <si>
    <t>Enter bedding volume for the planned storage period here</t>
  </si>
  <si>
    <t>Total amount of runoff for paved area (less evaporation) over the entire storage period</t>
  </si>
  <si>
    <t>Drainage area to structure (paved area)</t>
  </si>
  <si>
    <t>Drainage area to structure (unpaved area)</t>
  </si>
  <si>
    <t>Total amount of runoff for unpaved area (less evaporation) over the entire storage period</t>
  </si>
  <si>
    <t>Paved area:</t>
  </si>
  <si>
    <t>Unpaved area:</t>
  </si>
  <si>
    <t>" of runoff (less evaporation) for storage period</t>
  </si>
  <si>
    <t>25 year storm:</t>
  </si>
  <si>
    <t>" of rainfall depth</t>
  </si>
  <si>
    <t xml:space="preserve">Enter the drainage area and amount of runoff for all of the paved and unpaved areas draining to the structure in the spaces provided.  Historical rainfall data for the area of </t>
  </si>
  <si>
    <t>Virginia NRCS Beef Waste Structure Sizing Data Worksheet</t>
  </si>
  <si>
    <t>(this value should be obtained directly from cooperator when possible)</t>
  </si>
  <si>
    <t>the project should be used in correlation with table 2-2 in the Engineering Field Handbook to obtain the runoff amount.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</si>
</sst>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9" x14ac:knownFonts="1">
    <font>
      <sz val="10"/>
      <name val="Arial"/>
    </font>
    <font>
      <sz val="14"/>
      <name val="Arial"/>
      <family val="2"/>
    </font>
    <font>
      <b/>
      <sz val="10"/>
      <name val="Arial"/>
      <family val="2"/>
    </font>
    <font>
      <b/>
      <sz val="12"/>
      <name val="Arial"/>
      <family val="2"/>
    </font>
    <font>
      <b/>
      <sz val="9"/>
      <name val="Arial"/>
      <family val="2"/>
    </font>
    <font>
      <sz val="8"/>
      <name val="Arial"/>
    </font>
    <font>
      <b/>
      <u/>
      <sz val="10"/>
      <name val="Arial"/>
      <family val="2"/>
    </font>
    <font>
      <sz val="10"/>
      <name val="Arial"/>
      <family val="2"/>
    </font>
    <font>
      <b/>
      <sz val="10"/>
      <color indexed="10"/>
      <name val="Arial"/>
      <family val="2"/>
    </font>
  </fonts>
  <fills count="7">
    <fill>
      <patternFill patternType="none"/>
    </fill>
    <fill>
      <patternFill patternType="gray125"/>
    </fill>
    <fill>
      <patternFill patternType="solid">
        <fgColor indexed="41"/>
        <bgColor indexed="64"/>
      </patternFill>
    </fill>
    <fill>
      <patternFill patternType="solid">
        <fgColor indexed="26"/>
        <bgColor indexed="64"/>
      </patternFill>
    </fill>
    <fill>
      <patternFill patternType="solid">
        <fgColor indexed="44"/>
        <bgColor indexed="64"/>
      </patternFill>
    </fill>
    <fill>
      <patternFill patternType="solid">
        <fgColor indexed="22"/>
        <bgColor indexed="64"/>
      </patternFill>
    </fill>
    <fill>
      <patternFill patternType="solid">
        <fgColor indexed="9"/>
        <bgColor indexed="64"/>
      </patternFill>
    </fill>
  </fills>
  <borders count="11">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right/>
      <top/>
      <bottom style="medium">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1">
    <xf numFmtId="0" fontId="0" fillId="0" borderId="0"/>
  </cellStyleXfs>
  <cellXfs count="79">
    <xf numFmtId="0" fontId="0" fillId="0" borderId="0" xfId="0"/>
    <xf numFmtId="0" fontId="0" fillId="0" borderId="0" xfId="0" applyProtection="1">
      <protection locked="0"/>
    </xf>
    <xf numFmtId="0" fontId="0" fillId="0" borderId="0" xfId="0" applyAlignment="1">
      <alignment horizontal="center"/>
    </xf>
    <xf numFmtId="2" fontId="0" fillId="0" borderId="0" xfId="0" applyNumberFormat="1"/>
    <xf numFmtId="0" fontId="0" fillId="2" borderId="1" xfId="0" applyFill="1" applyBorder="1" applyAlignment="1" applyProtection="1">
      <alignment horizontal="center" vertical="center"/>
      <protection hidden="1"/>
    </xf>
    <xf numFmtId="0" fontId="0" fillId="3" borderId="0" xfId="0" applyFill="1" applyBorder="1" applyAlignment="1" applyProtection="1">
      <alignment horizontal="center" vertical="center"/>
      <protection locked="0"/>
    </xf>
    <xf numFmtId="0" fontId="0" fillId="0" borderId="0" xfId="0" applyAlignment="1">
      <alignment vertical="center"/>
    </xf>
    <xf numFmtId="3"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2" xfId="0" applyFill="1" applyBorder="1" applyAlignment="1" applyProtection="1">
      <alignment horizontal="center" vertical="center"/>
      <protection locked="0"/>
    </xf>
    <xf numFmtId="3" fontId="0" fillId="3" borderId="1" xfId="0" applyNumberFormat="1" applyFill="1" applyBorder="1" applyAlignment="1" applyProtection="1">
      <alignment vertical="center"/>
      <protection locked="0"/>
    </xf>
    <xf numFmtId="164" fontId="0" fillId="3" borderId="1" xfId="0" applyNumberFormat="1" applyFill="1" applyBorder="1" applyAlignment="1" applyProtection="1">
      <alignment vertical="center"/>
      <protection locked="0"/>
    </xf>
    <xf numFmtId="0" fontId="0" fillId="2" borderId="3" xfId="0" applyFill="1" applyBorder="1" applyAlignment="1" applyProtection="1">
      <alignment horizontal="center" vertical="center"/>
      <protection hidden="1"/>
    </xf>
    <xf numFmtId="0" fontId="0" fillId="2" borderId="0" xfId="0" applyFill="1" applyBorder="1" applyAlignment="1" applyProtection="1">
      <alignment horizontal="center" vertical="center"/>
      <protection hidden="1"/>
    </xf>
    <xf numFmtId="3" fontId="0" fillId="2" borderId="0" xfId="0" applyNumberFormat="1" applyFill="1" applyBorder="1" applyAlignment="1" applyProtection="1">
      <alignment vertical="center"/>
      <protection hidden="1"/>
    </xf>
    <xf numFmtId="3" fontId="0" fillId="2" borderId="0" xfId="0" applyNumberFormat="1" applyFill="1" applyBorder="1" applyAlignment="1" applyProtection="1">
      <alignment horizontal="center" vertical="center"/>
      <protection hidden="1"/>
    </xf>
    <xf numFmtId="164" fontId="0" fillId="2" borderId="0" xfId="0" applyNumberFormat="1" applyFill="1" applyBorder="1" applyAlignment="1" applyProtection="1">
      <alignment vertical="center"/>
      <protection hidden="1"/>
    </xf>
    <xf numFmtId="3" fontId="0" fillId="2" borderId="4" xfId="0" applyNumberFormat="1" applyFill="1" applyBorder="1" applyAlignment="1" applyProtection="1">
      <alignment vertical="center"/>
      <protection hidden="1"/>
    </xf>
    <xf numFmtId="3" fontId="3" fillId="4" borderId="1" xfId="0" applyNumberFormat="1" applyFont="1" applyFill="1" applyBorder="1" applyAlignment="1" applyProtection="1">
      <alignment vertical="center"/>
      <protection hidden="1"/>
    </xf>
    <xf numFmtId="0" fontId="0" fillId="0" borderId="0" xfId="0" applyAlignment="1">
      <alignment horizontal="left" vertical="center"/>
    </xf>
    <xf numFmtId="0" fontId="6" fillId="0" borderId="0" xfId="0" applyFont="1" applyAlignment="1">
      <alignment horizontal="left" vertical="center"/>
    </xf>
    <xf numFmtId="49" fontId="0" fillId="0" borderId="0" xfId="0" applyNumberFormat="1" applyAlignment="1">
      <alignment horizontal="right" vertical="center"/>
    </xf>
    <xf numFmtId="0" fontId="6" fillId="0" borderId="0" xfId="0" applyFont="1" applyAlignment="1">
      <alignment vertical="center"/>
    </xf>
    <xf numFmtId="3" fontId="0" fillId="0" borderId="0" xfId="0" applyNumberFormat="1" applyFill="1" applyBorder="1" applyAlignment="1" applyProtection="1">
      <alignment horizontal="center" vertical="center"/>
      <protection hidden="1"/>
    </xf>
    <xf numFmtId="164" fontId="0" fillId="0" borderId="0" xfId="0" applyNumberFormat="1" applyFill="1" applyBorder="1" applyAlignment="1" applyProtection="1">
      <alignment vertical="center"/>
      <protection hidden="1"/>
    </xf>
    <xf numFmtId="3" fontId="0" fillId="0" borderId="0" xfId="0" applyNumberFormat="1" applyFill="1" applyBorder="1" applyAlignment="1" applyProtection="1">
      <alignment vertical="center"/>
      <protection hidden="1"/>
    </xf>
    <xf numFmtId="3" fontId="0" fillId="0" borderId="0" xfId="0" applyNumberFormat="1" applyFill="1" applyBorder="1" applyAlignment="1" applyProtection="1">
      <alignment horizontal="left" vertical="center"/>
      <protection hidden="1"/>
    </xf>
    <xf numFmtId="0" fontId="0" fillId="0" borderId="5" xfId="0" applyBorder="1" applyAlignment="1" applyProtection="1">
      <alignment vertical="center"/>
    </xf>
    <xf numFmtId="0" fontId="0" fillId="0" borderId="0" xfId="0" applyAlignment="1" applyProtection="1"/>
    <xf numFmtId="0" fontId="0" fillId="0" borderId="0" xfId="0" applyProtection="1"/>
    <xf numFmtId="0" fontId="0" fillId="0" borderId="3" xfId="0" applyBorder="1" applyAlignment="1" applyProtection="1">
      <alignment vertical="center"/>
    </xf>
    <xf numFmtId="0" fontId="0" fillId="0" borderId="0" xfId="0" applyBorder="1" applyAlignment="1" applyProtection="1">
      <alignment vertical="center"/>
    </xf>
    <xf numFmtId="0" fontId="0" fillId="0" borderId="6" xfId="0" applyBorder="1" applyAlignment="1" applyProtection="1">
      <alignment vertical="center"/>
    </xf>
    <xf numFmtId="0" fontId="0" fillId="0" borderId="0" xfId="0" applyBorder="1" applyAlignment="1" applyProtection="1">
      <alignment horizontal="right" vertical="center"/>
    </xf>
    <xf numFmtId="14" fontId="0" fillId="5" borderId="1" xfId="0" applyNumberFormat="1" applyFill="1" applyBorder="1" applyAlignment="1" applyProtection="1">
      <alignment horizontal="center" vertical="center"/>
    </xf>
    <xf numFmtId="0" fontId="0" fillId="0" borderId="0" xfId="0" applyAlignment="1" applyProtection="1">
      <alignment vertical="center"/>
    </xf>
    <xf numFmtId="0" fontId="0" fillId="0" borderId="3" xfId="0" applyBorder="1" applyAlignment="1" applyProtection="1">
      <alignment horizontal="right" vertical="center"/>
    </xf>
    <xf numFmtId="0" fontId="0" fillId="6" borderId="0" xfId="0" applyFill="1" applyBorder="1" applyAlignment="1" applyProtection="1">
      <alignment horizontal="right" vertical="center"/>
    </xf>
    <xf numFmtId="3" fontId="0" fillId="0" borderId="0" xfId="0" applyNumberFormat="1" applyFill="1" applyBorder="1" applyAlignment="1" applyProtection="1">
      <alignment horizontal="center" vertical="center"/>
    </xf>
    <xf numFmtId="0" fontId="0" fillId="0" borderId="3" xfId="0" applyBorder="1" applyAlignment="1" applyProtection="1">
      <alignment horizontal="center" vertical="center"/>
    </xf>
    <xf numFmtId="0" fontId="0" fillId="0" borderId="0" xfId="0" applyBorder="1" applyAlignment="1" applyProtection="1">
      <alignment horizontal="center" vertical="center"/>
    </xf>
    <xf numFmtId="0" fontId="0" fillId="0" borderId="6" xfId="0" applyBorder="1"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horizontal="right" vertical="center"/>
    </xf>
    <xf numFmtId="0" fontId="0" fillId="0" borderId="6" xfId="0" applyBorder="1" applyAlignment="1" applyProtection="1">
      <alignment horizontal="left" vertical="center"/>
    </xf>
    <xf numFmtId="3" fontId="0" fillId="0" borderId="0" xfId="0" applyNumberFormat="1" applyFill="1" applyBorder="1" applyAlignment="1" applyProtection="1">
      <alignment vertical="center"/>
    </xf>
    <xf numFmtId="164" fontId="0" fillId="0" borderId="0" xfId="0" applyNumberFormat="1" applyFill="1" applyBorder="1" applyAlignment="1" applyProtection="1">
      <alignment horizontal="center" vertical="center"/>
    </xf>
    <xf numFmtId="164" fontId="0" fillId="0" borderId="0" xfId="0" applyNumberFormat="1" applyFill="1" applyBorder="1" applyAlignment="1" applyProtection="1">
      <alignment vertical="center"/>
    </xf>
    <xf numFmtId="0" fontId="2" fillId="0" borderId="3" xfId="0" applyFont="1" applyBorder="1" applyAlignment="1" applyProtection="1">
      <alignment vertical="center"/>
    </xf>
    <xf numFmtId="0" fontId="0" fillId="0" borderId="0" xfId="0" quotePrefix="1" applyBorder="1" applyAlignment="1" applyProtection="1">
      <alignment horizontal="center" vertical="center"/>
    </xf>
    <xf numFmtId="0" fontId="0" fillId="6" borderId="0" xfId="0" quotePrefix="1" applyFill="1" applyBorder="1" applyAlignment="1" applyProtection="1">
      <alignment horizontal="center"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7" fillId="0" borderId="1" xfId="0" applyFont="1" applyBorder="1" applyAlignment="1" applyProtection="1">
      <alignment horizontal="center" vertical="center"/>
    </xf>
    <xf numFmtId="1" fontId="4" fillId="0" borderId="7" xfId="0" applyNumberFormat="1" applyFont="1" applyBorder="1" applyAlignment="1" applyProtection="1">
      <alignment horizontal="left" vertical="center"/>
    </xf>
    <xf numFmtId="0" fontId="2" fillId="0" borderId="0" xfId="0" applyFont="1" applyProtection="1"/>
    <xf numFmtId="0" fontId="1" fillId="0" borderId="0" xfId="0" applyFont="1" applyProtection="1"/>
    <xf numFmtId="0" fontId="3" fillId="0" borderId="1" xfId="0" applyFont="1" applyBorder="1" applyAlignment="1" applyProtection="1">
      <alignment horizontal="left" vertical="center"/>
    </xf>
    <xf numFmtId="0" fontId="0" fillId="0" borderId="1" xfId="0" applyBorder="1" applyAlignment="1" applyProtection="1">
      <alignment horizontal="left" vertical="center"/>
    </xf>
    <xf numFmtId="0" fontId="0" fillId="0" borderId="3" xfId="0" applyBorder="1" applyAlignment="1" applyProtection="1">
      <alignment horizontal="right" vertical="center"/>
    </xf>
    <xf numFmtId="0" fontId="0" fillId="0" borderId="0" xfId="0" applyBorder="1" applyAlignment="1" applyProtection="1">
      <alignment horizontal="right" vertical="center"/>
    </xf>
    <xf numFmtId="0" fontId="2" fillId="0" borderId="3" xfId="0" applyFont="1" applyBorder="1" applyAlignment="1" applyProtection="1">
      <alignment vertical="center"/>
    </xf>
    <xf numFmtId="0" fontId="2" fillId="0" borderId="0" xfId="0" applyFont="1" applyBorder="1" applyAlignment="1" applyProtection="1">
      <alignment vertical="center"/>
    </xf>
    <xf numFmtId="0" fontId="0" fillId="0" borderId="3" xfId="0" applyBorder="1" applyAlignment="1" applyProtection="1">
      <alignment vertical="center"/>
    </xf>
    <xf numFmtId="0" fontId="0" fillId="0" borderId="0" xfId="0" applyBorder="1" applyAlignment="1" applyProtection="1">
      <alignment vertical="center"/>
    </xf>
    <xf numFmtId="0" fontId="0" fillId="0" borderId="10" xfId="0" applyBorder="1" applyAlignment="1" applyProtection="1">
      <alignment vertical="center"/>
    </xf>
    <xf numFmtId="0" fontId="0" fillId="0" borderId="1" xfId="0" applyBorder="1" applyAlignment="1" applyProtection="1">
      <alignment vertical="center"/>
    </xf>
    <xf numFmtId="0" fontId="0" fillId="0" borderId="6" xfId="0" applyBorder="1" applyAlignment="1" applyProtection="1">
      <alignment vertical="center"/>
    </xf>
    <xf numFmtId="0" fontId="0" fillId="0" borderId="0" xfId="0" applyProtection="1"/>
    <xf numFmtId="0" fontId="0" fillId="0" borderId="5" xfId="0" applyBorder="1" applyAlignment="1" applyProtection="1">
      <alignment vertical="center"/>
    </xf>
    <xf numFmtId="0" fontId="8" fillId="0" borderId="0" xfId="0" applyFont="1" applyBorder="1" applyAlignment="1" applyProtection="1">
      <alignment horizontal="center" vertical="center" wrapText="1"/>
    </xf>
    <xf numFmtId="0" fontId="8" fillId="0" borderId="0" xfId="0" applyFont="1" applyAlignment="1" applyProtection="1">
      <alignment horizontal="center" vertical="center" wrapText="1"/>
    </xf>
    <xf numFmtId="0" fontId="8" fillId="0" borderId="6" xfId="0" applyFont="1" applyBorder="1" applyAlignment="1" applyProtection="1">
      <alignment horizontal="center" vertical="center" wrapText="1"/>
    </xf>
    <xf numFmtId="0" fontId="0" fillId="3" borderId="1" xfId="0" applyFill="1" applyBorder="1" applyAlignment="1" applyProtection="1">
      <alignment horizontal="left" vertical="center"/>
      <protection locked="0"/>
    </xf>
    <xf numFmtId="0" fontId="0" fillId="3" borderId="1" xfId="0" applyFill="1" applyBorder="1" applyAlignment="1" applyProtection="1">
      <alignment vertical="center"/>
      <protection locked="0"/>
    </xf>
    <xf numFmtId="0" fontId="0" fillId="6" borderId="0" xfId="0" applyFill="1" applyBorder="1" applyAlignment="1" applyProtection="1">
      <alignment horizontal="left" vertical="center"/>
    </xf>
    <xf numFmtId="0" fontId="0" fillId="6" borderId="0" xfId="0" applyFill="1" applyBorder="1" applyAlignment="1" applyProtection="1">
      <alignment vertical="center"/>
    </xf>
    <xf numFmtId="0" fontId="1" fillId="5" borderId="8" xfId="0" applyFont="1" applyFill="1" applyBorder="1" applyAlignment="1" applyProtection="1">
      <alignment horizontal="center" vertical="center"/>
    </xf>
    <xf numFmtId="0" fontId="0" fillId="0" borderId="9" xfId="0" applyBorder="1" applyAlignment="1" applyProtection="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Q4" fmlaRange="Tables!$B$2:$B$48" noThreeD="1" val="0"/>
</file>

<file path=xl/drawings/drawing1.xml><?xml version="1.0" encoding="utf-8"?>
<xdr:wsDr xmlns:xdr="http://schemas.openxmlformats.org/drawingml/2006/spreadsheetDrawing" xmlns:a="http://schemas.openxmlformats.org/drawingml/2006/main">
  <xdr:twoCellAnchor>
    <xdr:from>
      <xdr:col>0</xdr:col>
      <xdr:colOff>123825</xdr:colOff>
      <xdr:row>29</xdr:row>
      <xdr:rowOff>28575</xdr:rowOff>
    </xdr:from>
    <xdr:to>
      <xdr:col>1</xdr:col>
      <xdr:colOff>552450</xdr:colOff>
      <xdr:row>33</xdr:row>
      <xdr:rowOff>85725</xdr:rowOff>
    </xdr:to>
    <xdr:sp macro="" textlink="">
      <xdr:nvSpPr>
        <xdr:cNvPr id="1035" name="Text Box 11"/>
        <xdr:cNvSpPr txBox="1">
          <a:spLocks noChangeArrowheads="1"/>
        </xdr:cNvSpPr>
      </xdr:nvSpPr>
      <xdr:spPr bwMode="auto">
        <a:xfrm>
          <a:off x="123825" y="3667125"/>
          <a:ext cx="1095375" cy="476250"/>
        </a:xfrm>
        <a:prstGeom prst="rect">
          <a:avLst/>
        </a:prstGeom>
        <a:solidFill>
          <a:srgbClr val="FFFF00"/>
        </a:solidFill>
        <a:ln w="12700">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Refer to Table 2-2 in the Engineering Field Handbook</a:t>
          </a:r>
        </a:p>
      </xdr:txBody>
    </xdr:sp>
    <xdr:clientData/>
  </xdr:twoCellAnchor>
  <xdr:twoCellAnchor>
    <xdr:from>
      <xdr:col>1</xdr:col>
      <xdr:colOff>552450</xdr:colOff>
      <xdr:row>29</xdr:row>
      <xdr:rowOff>85725</xdr:rowOff>
    </xdr:from>
    <xdr:to>
      <xdr:col>3</xdr:col>
      <xdr:colOff>76200</xdr:colOff>
      <xdr:row>31</xdr:row>
      <xdr:rowOff>47625</xdr:rowOff>
    </xdr:to>
    <xdr:sp macro="" textlink="">
      <xdr:nvSpPr>
        <xdr:cNvPr id="1045" name="Line 12"/>
        <xdr:cNvSpPr>
          <a:spLocks noChangeShapeType="1"/>
        </xdr:cNvSpPr>
      </xdr:nvSpPr>
      <xdr:spPr bwMode="auto">
        <a:xfrm flipV="1">
          <a:off x="1219200" y="3724275"/>
          <a:ext cx="885825" cy="1714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552450</xdr:colOff>
      <xdr:row>31</xdr:row>
      <xdr:rowOff>57150</xdr:rowOff>
    </xdr:from>
    <xdr:to>
      <xdr:col>2</xdr:col>
      <xdr:colOff>666750</xdr:colOff>
      <xdr:row>33</xdr:row>
      <xdr:rowOff>57150</xdr:rowOff>
    </xdr:to>
    <xdr:sp macro="" textlink="">
      <xdr:nvSpPr>
        <xdr:cNvPr id="1046" name="Line 13"/>
        <xdr:cNvSpPr>
          <a:spLocks noChangeShapeType="1"/>
        </xdr:cNvSpPr>
      </xdr:nvSpPr>
      <xdr:spPr bwMode="auto">
        <a:xfrm>
          <a:off x="1219200" y="3905250"/>
          <a:ext cx="762000" cy="2095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76200</xdr:rowOff>
        </xdr:from>
        <xdr:to>
          <xdr:col>5</xdr:col>
          <xdr:colOff>200025</xdr:colOff>
          <xdr:row>5</xdr:row>
          <xdr:rowOff>28575</xdr:rowOff>
        </xdr:to>
        <xdr:sp macro="" textlink="">
          <xdr:nvSpPr>
            <xdr:cNvPr id="1025" name="Drop Down 1"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150"/>
  <sheetViews>
    <sheetView showGridLines="0" showRowColHeaders="0" workbookViewId="0"/>
  </sheetViews>
  <sheetFormatPr defaultRowHeight="12.75" x14ac:dyDescent="0.2"/>
  <cols>
    <col min="1" max="1" width="3.7109375" customWidth="1"/>
    <col min="2" max="34" width="10.7109375" customWidth="1"/>
  </cols>
  <sheetData>
    <row r="1" spans="1:14" ht="15" customHeight="1" x14ac:dyDescent="0.2">
      <c r="A1" s="6"/>
      <c r="B1" s="22" t="s">
        <v>106</v>
      </c>
      <c r="C1" s="6"/>
      <c r="D1" s="6"/>
      <c r="E1" s="6"/>
      <c r="F1" s="6"/>
      <c r="G1" s="6"/>
      <c r="H1" s="6"/>
      <c r="I1" s="6"/>
      <c r="J1" s="6"/>
      <c r="K1" s="6"/>
      <c r="L1" s="6"/>
      <c r="M1" s="6"/>
      <c r="N1" s="6"/>
    </row>
    <row r="2" spans="1:14" ht="6.95" customHeight="1" x14ac:dyDescent="0.2">
      <c r="A2" s="6"/>
      <c r="B2" s="19"/>
      <c r="C2" s="6"/>
      <c r="D2" s="6"/>
      <c r="E2" s="6"/>
      <c r="F2" s="6"/>
      <c r="G2" s="6"/>
      <c r="H2" s="6"/>
      <c r="I2" s="6"/>
      <c r="J2" s="6"/>
      <c r="K2" s="6"/>
      <c r="L2" s="6"/>
      <c r="M2" s="6"/>
      <c r="N2" s="6"/>
    </row>
    <row r="3" spans="1:14" ht="15" customHeight="1" x14ac:dyDescent="0.2">
      <c r="A3" s="21" t="s">
        <v>79</v>
      </c>
      <c r="B3" s="19" t="s">
        <v>94</v>
      </c>
      <c r="C3" s="6"/>
      <c r="D3" s="6"/>
      <c r="E3" s="6"/>
      <c r="F3" s="6"/>
      <c r="G3" s="6"/>
      <c r="H3" s="6"/>
      <c r="I3" s="6"/>
      <c r="J3" s="6"/>
      <c r="K3" s="6"/>
      <c r="L3" s="6"/>
      <c r="M3" s="6"/>
      <c r="N3" s="6"/>
    </row>
    <row r="4" spans="1:14" ht="6.95" customHeight="1" x14ac:dyDescent="0.2">
      <c r="A4" s="21"/>
      <c r="B4" s="19"/>
      <c r="C4" s="6"/>
      <c r="D4" s="6"/>
      <c r="E4" s="6"/>
      <c r="F4" s="6"/>
      <c r="G4" s="6"/>
      <c r="H4" s="6"/>
      <c r="I4" s="6"/>
      <c r="J4" s="6"/>
      <c r="K4" s="6"/>
      <c r="L4" s="6"/>
      <c r="M4" s="6"/>
      <c r="N4" s="6"/>
    </row>
    <row r="5" spans="1:14" ht="15" customHeight="1" x14ac:dyDescent="0.2">
      <c r="A5" s="21" t="s">
        <v>80</v>
      </c>
      <c r="B5" s="19" t="s">
        <v>107</v>
      </c>
      <c r="C5" s="6"/>
      <c r="D5" s="6"/>
      <c r="E5" s="6"/>
      <c r="F5" s="6"/>
      <c r="G5" s="6"/>
      <c r="H5" s="6"/>
      <c r="I5" s="6"/>
      <c r="J5" s="6"/>
      <c r="K5" s="6"/>
      <c r="L5" s="6"/>
      <c r="M5" s="6"/>
      <c r="N5" s="6"/>
    </row>
    <row r="6" spans="1:14" ht="6.95" customHeight="1" x14ac:dyDescent="0.2">
      <c r="A6" s="21"/>
      <c r="B6" s="19"/>
      <c r="C6" s="6"/>
      <c r="D6" s="6"/>
      <c r="E6" s="6"/>
      <c r="F6" s="6"/>
      <c r="G6" s="6"/>
      <c r="H6" s="6"/>
      <c r="I6" s="6"/>
      <c r="J6" s="6"/>
      <c r="K6" s="6"/>
      <c r="L6" s="6"/>
      <c r="M6" s="6"/>
      <c r="N6" s="6"/>
    </row>
    <row r="7" spans="1:14" ht="15" customHeight="1" x14ac:dyDescent="0.2">
      <c r="A7" s="21" t="s">
        <v>81</v>
      </c>
      <c r="B7" s="19" t="s">
        <v>108</v>
      </c>
      <c r="C7" s="6"/>
      <c r="D7" s="6"/>
      <c r="E7" s="6"/>
      <c r="F7" s="6"/>
      <c r="G7" s="6"/>
      <c r="H7" s="6"/>
      <c r="I7" s="6"/>
      <c r="J7" s="6"/>
      <c r="K7" s="6"/>
      <c r="L7" s="6"/>
      <c r="M7" s="6"/>
      <c r="N7" s="6"/>
    </row>
    <row r="8" spans="1:14" ht="6.95" customHeight="1" x14ac:dyDescent="0.2">
      <c r="A8" s="21"/>
      <c r="B8" s="19"/>
      <c r="C8" s="6"/>
      <c r="D8" s="6"/>
      <c r="E8" s="6"/>
      <c r="F8" s="6"/>
      <c r="G8" s="6"/>
      <c r="H8" s="6"/>
      <c r="I8" s="6"/>
      <c r="J8" s="6"/>
      <c r="K8" s="6"/>
      <c r="L8" s="6"/>
      <c r="M8" s="6"/>
      <c r="N8" s="6"/>
    </row>
    <row r="9" spans="1:14" ht="15" customHeight="1" x14ac:dyDescent="0.2">
      <c r="A9" s="21" t="s">
        <v>82</v>
      </c>
      <c r="B9" s="19" t="s">
        <v>109</v>
      </c>
      <c r="C9" s="6"/>
      <c r="D9" s="6"/>
      <c r="E9" s="6"/>
      <c r="F9" s="6"/>
      <c r="G9" s="6"/>
      <c r="H9" s="6"/>
      <c r="I9" s="6"/>
      <c r="J9" s="6"/>
      <c r="K9" s="6"/>
      <c r="L9" s="6"/>
      <c r="M9" s="6"/>
      <c r="N9" s="6"/>
    </row>
    <row r="10" spans="1:14" ht="15" customHeight="1" x14ac:dyDescent="0.2">
      <c r="A10" s="6"/>
      <c r="B10" s="19"/>
      <c r="C10" s="6"/>
      <c r="D10" s="6"/>
      <c r="E10" s="6"/>
      <c r="F10" s="6"/>
      <c r="G10" s="6"/>
      <c r="H10" s="6"/>
      <c r="I10" s="6"/>
      <c r="J10" s="6"/>
      <c r="K10" s="6"/>
      <c r="L10" s="6"/>
      <c r="M10" s="6"/>
      <c r="N10" s="6"/>
    </row>
    <row r="11" spans="1:14" ht="15" customHeight="1" x14ac:dyDescent="0.2">
      <c r="A11" s="6"/>
      <c r="B11" s="20" t="s">
        <v>105</v>
      </c>
      <c r="C11" s="6"/>
      <c r="D11" s="6"/>
      <c r="E11" s="6"/>
      <c r="F11" s="6"/>
      <c r="G11" s="6"/>
      <c r="H11" s="6"/>
      <c r="I11" s="6"/>
      <c r="J11" s="6"/>
      <c r="K11" s="6"/>
      <c r="L11" s="6"/>
      <c r="M11" s="6"/>
      <c r="N11" s="6"/>
    </row>
    <row r="12" spans="1:14" ht="6.95" customHeight="1" x14ac:dyDescent="0.2">
      <c r="A12" s="6"/>
      <c r="B12" s="19"/>
      <c r="C12" s="6"/>
      <c r="D12" s="6"/>
      <c r="E12" s="6"/>
      <c r="F12" s="6"/>
      <c r="G12" s="6"/>
      <c r="H12" s="6"/>
      <c r="I12" s="6"/>
      <c r="J12" s="6"/>
      <c r="K12" s="6"/>
      <c r="L12" s="6"/>
      <c r="M12" s="6"/>
      <c r="N12" s="6"/>
    </row>
    <row r="13" spans="1:14" ht="15" customHeight="1" x14ac:dyDescent="0.2">
      <c r="A13" s="21" t="s">
        <v>79</v>
      </c>
      <c r="B13" s="19" t="s">
        <v>93</v>
      </c>
      <c r="C13" s="6"/>
      <c r="D13" s="6"/>
      <c r="E13" s="6"/>
      <c r="F13" s="6"/>
      <c r="G13" s="6"/>
      <c r="H13" s="6"/>
      <c r="I13" s="6"/>
      <c r="J13" s="6"/>
      <c r="K13" s="6"/>
      <c r="L13" s="6"/>
      <c r="M13" s="6"/>
      <c r="N13" s="6"/>
    </row>
    <row r="14" spans="1:14" ht="6.95" customHeight="1" x14ac:dyDescent="0.2">
      <c r="A14" s="21"/>
      <c r="B14" s="19"/>
      <c r="C14" s="6"/>
      <c r="D14" s="6"/>
      <c r="E14" s="6"/>
      <c r="F14" s="6"/>
      <c r="G14" s="6"/>
      <c r="H14" s="6"/>
      <c r="I14" s="6"/>
      <c r="J14" s="6"/>
      <c r="K14" s="6"/>
      <c r="L14" s="6"/>
      <c r="M14" s="6"/>
      <c r="N14" s="6"/>
    </row>
    <row r="15" spans="1:14" ht="15" customHeight="1" x14ac:dyDescent="0.2">
      <c r="A15" s="21" t="s">
        <v>80</v>
      </c>
      <c r="B15" s="19" t="s">
        <v>92</v>
      </c>
      <c r="C15" s="6"/>
      <c r="D15" s="6"/>
      <c r="E15" s="6"/>
      <c r="F15" s="6"/>
      <c r="G15" s="6"/>
      <c r="H15" s="6"/>
      <c r="I15" s="6"/>
      <c r="J15" s="6"/>
      <c r="K15" s="6"/>
      <c r="L15" s="6"/>
      <c r="M15" s="6"/>
      <c r="N15" s="6"/>
    </row>
    <row r="16" spans="1:14" ht="6.95" customHeight="1" x14ac:dyDescent="0.2">
      <c r="A16" s="21"/>
      <c r="B16" s="19"/>
      <c r="C16" s="6"/>
      <c r="D16" s="6"/>
      <c r="E16" s="6"/>
      <c r="F16" s="6"/>
      <c r="G16" s="6"/>
      <c r="H16" s="6"/>
      <c r="I16" s="6"/>
      <c r="J16" s="6"/>
      <c r="K16" s="6"/>
      <c r="L16" s="6"/>
      <c r="M16" s="6"/>
      <c r="N16" s="6"/>
    </row>
    <row r="17" spans="1:14" ht="15" customHeight="1" x14ac:dyDescent="0.2">
      <c r="A17" s="21" t="s">
        <v>81</v>
      </c>
      <c r="B17" s="19" t="s">
        <v>91</v>
      </c>
      <c r="C17" s="6"/>
      <c r="D17" s="6"/>
      <c r="E17" s="6"/>
      <c r="F17" s="6"/>
      <c r="G17" s="6"/>
      <c r="H17" s="6"/>
      <c r="I17" s="6"/>
      <c r="J17" s="6"/>
      <c r="K17" s="6"/>
      <c r="L17" s="6"/>
      <c r="M17" s="6"/>
      <c r="N17" s="6"/>
    </row>
    <row r="18" spans="1:14" ht="6.95" customHeight="1" x14ac:dyDescent="0.2">
      <c r="A18" s="21"/>
      <c r="B18" s="19"/>
      <c r="C18" s="6"/>
      <c r="D18" s="6"/>
      <c r="E18" s="6"/>
      <c r="F18" s="6"/>
      <c r="G18" s="6"/>
      <c r="H18" s="6"/>
      <c r="I18" s="6"/>
      <c r="J18" s="6"/>
      <c r="K18" s="6"/>
      <c r="L18" s="6"/>
      <c r="M18" s="6"/>
      <c r="N18" s="6"/>
    </row>
    <row r="19" spans="1:14" ht="15" customHeight="1" x14ac:dyDescent="0.2">
      <c r="A19" s="21" t="s">
        <v>82</v>
      </c>
      <c r="B19" s="19" t="s">
        <v>90</v>
      </c>
      <c r="C19" s="6"/>
      <c r="D19" s="6"/>
      <c r="E19" s="6"/>
      <c r="F19" s="6"/>
      <c r="G19" s="6"/>
      <c r="H19" s="6"/>
      <c r="I19" s="6"/>
      <c r="J19" s="6"/>
      <c r="K19" s="6"/>
      <c r="L19" s="6"/>
      <c r="M19" s="6"/>
      <c r="N19" s="6"/>
    </row>
    <row r="20" spans="1:14" ht="6.95" customHeight="1" x14ac:dyDescent="0.2">
      <c r="A20" s="21"/>
      <c r="B20" s="19"/>
      <c r="C20" s="6"/>
      <c r="D20" s="6"/>
      <c r="E20" s="6"/>
      <c r="F20" s="6"/>
      <c r="G20" s="6"/>
      <c r="H20" s="6"/>
      <c r="I20" s="6"/>
      <c r="J20" s="6"/>
      <c r="K20" s="6"/>
      <c r="L20" s="6"/>
      <c r="M20" s="6"/>
      <c r="N20" s="6"/>
    </row>
    <row r="21" spans="1:14" ht="15" customHeight="1" x14ac:dyDescent="0.2">
      <c r="A21" s="21" t="s">
        <v>83</v>
      </c>
      <c r="B21" s="19" t="s">
        <v>89</v>
      </c>
      <c r="C21" s="6"/>
      <c r="D21" s="6"/>
      <c r="E21" s="6"/>
      <c r="F21" s="6"/>
      <c r="G21" s="6"/>
      <c r="H21" s="6"/>
      <c r="I21" s="6"/>
      <c r="J21" s="6"/>
      <c r="K21" s="6"/>
      <c r="L21" s="6"/>
      <c r="M21" s="6"/>
      <c r="N21" s="6"/>
    </row>
    <row r="22" spans="1:14" ht="6.95" customHeight="1" x14ac:dyDescent="0.2">
      <c r="A22" s="21"/>
      <c r="B22" s="19"/>
      <c r="C22" s="6"/>
      <c r="D22" s="6"/>
      <c r="E22" s="6"/>
      <c r="F22" s="6"/>
      <c r="G22" s="6"/>
      <c r="H22" s="6"/>
      <c r="I22" s="6"/>
      <c r="J22" s="6"/>
      <c r="K22" s="6"/>
      <c r="L22" s="6"/>
      <c r="M22" s="6"/>
      <c r="N22" s="6"/>
    </row>
    <row r="23" spans="1:14" ht="15" customHeight="1" x14ac:dyDescent="0.2">
      <c r="A23" s="21" t="s">
        <v>84</v>
      </c>
      <c r="B23" s="19" t="s">
        <v>104</v>
      </c>
      <c r="C23" s="6"/>
      <c r="D23" s="6"/>
      <c r="E23" s="6"/>
      <c r="F23" s="6"/>
      <c r="G23" s="6"/>
      <c r="H23" s="6"/>
      <c r="I23" s="6"/>
      <c r="J23" s="6"/>
      <c r="K23" s="6"/>
      <c r="L23" s="6"/>
      <c r="M23" s="6"/>
      <c r="N23" s="6"/>
    </row>
    <row r="24" spans="1:14" ht="6.95" customHeight="1" x14ac:dyDescent="0.2">
      <c r="A24" s="21"/>
      <c r="B24" s="19"/>
      <c r="C24" s="6"/>
      <c r="D24" s="6"/>
      <c r="E24" s="6"/>
      <c r="F24" s="6"/>
      <c r="G24" s="6"/>
      <c r="H24" s="6"/>
      <c r="I24" s="6"/>
      <c r="J24" s="6"/>
      <c r="K24" s="6"/>
      <c r="L24" s="6"/>
      <c r="M24" s="6"/>
      <c r="N24" s="6"/>
    </row>
    <row r="25" spans="1:14" ht="15" customHeight="1" x14ac:dyDescent="0.2">
      <c r="A25" s="21" t="s">
        <v>85</v>
      </c>
      <c r="B25" s="19" t="s">
        <v>98</v>
      </c>
      <c r="C25" s="6"/>
      <c r="D25" s="6"/>
      <c r="E25" s="6"/>
      <c r="F25" s="6"/>
      <c r="G25" s="6"/>
      <c r="H25" s="6"/>
      <c r="I25" s="6"/>
      <c r="J25" s="6"/>
      <c r="K25" s="6"/>
      <c r="L25" s="6"/>
      <c r="M25" s="6"/>
      <c r="N25" s="6"/>
    </row>
    <row r="26" spans="1:14" ht="15" customHeight="1" x14ac:dyDescent="0.2">
      <c r="A26" s="21"/>
      <c r="B26" s="19" t="s">
        <v>97</v>
      </c>
      <c r="C26" s="6"/>
      <c r="D26" s="6"/>
      <c r="E26" s="6"/>
      <c r="F26" s="6"/>
      <c r="G26" s="6"/>
      <c r="H26" s="6"/>
      <c r="I26" s="6"/>
      <c r="J26" s="6"/>
      <c r="K26" s="6"/>
      <c r="L26" s="6"/>
      <c r="M26" s="6"/>
      <c r="N26" s="6"/>
    </row>
    <row r="27" spans="1:14" ht="6.95" customHeight="1" x14ac:dyDescent="0.2">
      <c r="A27" s="21"/>
      <c r="B27" s="19"/>
      <c r="C27" s="6"/>
      <c r="D27" s="6"/>
      <c r="E27" s="6"/>
      <c r="F27" s="6"/>
      <c r="G27" s="6"/>
      <c r="H27" s="6"/>
      <c r="I27" s="6"/>
      <c r="J27" s="6"/>
      <c r="K27" s="6"/>
      <c r="L27" s="6"/>
      <c r="M27" s="6"/>
      <c r="N27" s="6"/>
    </row>
    <row r="28" spans="1:14" ht="15" customHeight="1" x14ac:dyDescent="0.2">
      <c r="A28" s="21" t="s">
        <v>86</v>
      </c>
      <c r="B28" s="19" t="s">
        <v>100</v>
      </c>
      <c r="C28" s="6"/>
      <c r="D28" s="6"/>
      <c r="E28" s="6"/>
      <c r="F28" s="6"/>
      <c r="G28" s="6"/>
      <c r="H28" s="6"/>
      <c r="I28" s="6"/>
      <c r="J28" s="6"/>
      <c r="K28" s="6"/>
      <c r="L28" s="6"/>
      <c r="M28" s="6"/>
      <c r="N28" s="6"/>
    </row>
    <row r="29" spans="1:14" ht="15" customHeight="1" x14ac:dyDescent="0.2">
      <c r="A29" s="21"/>
      <c r="B29" s="19" t="s">
        <v>99</v>
      </c>
      <c r="C29" s="6"/>
      <c r="D29" s="6"/>
      <c r="E29" s="6"/>
      <c r="F29" s="6"/>
      <c r="G29" s="6"/>
      <c r="H29" s="6"/>
      <c r="I29" s="6"/>
      <c r="J29" s="6"/>
      <c r="K29" s="6"/>
      <c r="L29" s="6"/>
      <c r="M29" s="6"/>
      <c r="N29" s="6"/>
    </row>
    <row r="30" spans="1:14" ht="6.95" customHeight="1" x14ac:dyDescent="0.2">
      <c r="A30" s="21"/>
      <c r="B30" s="19"/>
      <c r="C30" s="6"/>
      <c r="D30" s="6"/>
      <c r="E30" s="6"/>
      <c r="F30" s="6"/>
      <c r="G30" s="6"/>
      <c r="H30" s="6"/>
      <c r="I30" s="6"/>
      <c r="J30" s="6"/>
      <c r="K30" s="6"/>
      <c r="L30" s="6"/>
      <c r="M30" s="6"/>
      <c r="N30" s="6"/>
    </row>
    <row r="31" spans="1:14" ht="15" customHeight="1" x14ac:dyDescent="0.2">
      <c r="A31" s="21" t="s">
        <v>87</v>
      </c>
      <c r="B31" s="19" t="s">
        <v>113</v>
      </c>
      <c r="C31" s="6"/>
      <c r="D31" s="6"/>
      <c r="E31" s="6"/>
      <c r="F31" s="6"/>
      <c r="G31" s="6"/>
      <c r="H31" s="6"/>
      <c r="I31" s="6"/>
      <c r="J31" s="6"/>
      <c r="K31" s="6"/>
      <c r="L31" s="6"/>
      <c r="M31" s="6"/>
      <c r="N31" s="6"/>
    </row>
    <row r="32" spans="1:14" ht="15" customHeight="1" x14ac:dyDescent="0.2">
      <c r="A32" s="21"/>
      <c r="B32" s="19" t="s">
        <v>114</v>
      </c>
      <c r="C32" s="6"/>
      <c r="D32" s="6"/>
      <c r="E32" s="6"/>
      <c r="F32" s="6"/>
      <c r="G32" s="6"/>
      <c r="H32" s="6"/>
      <c r="I32" s="6"/>
      <c r="J32" s="6"/>
      <c r="K32" s="6"/>
      <c r="L32" s="6"/>
      <c r="M32" s="6"/>
      <c r="N32" s="6"/>
    </row>
    <row r="33" spans="1:14" ht="6.95" customHeight="1" x14ac:dyDescent="0.2">
      <c r="A33" s="21"/>
      <c r="B33" s="19"/>
      <c r="C33" s="6"/>
      <c r="D33" s="6"/>
      <c r="E33" s="6"/>
      <c r="F33" s="6"/>
      <c r="G33" s="6"/>
      <c r="H33" s="6"/>
      <c r="I33" s="6"/>
      <c r="J33" s="6"/>
      <c r="K33" s="6"/>
      <c r="L33" s="6"/>
      <c r="M33" s="6"/>
      <c r="N33" s="6"/>
    </row>
    <row r="34" spans="1:14" ht="15" customHeight="1" x14ac:dyDescent="0.2">
      <c r="A34" s="21" t="s">
        <v>88</v>
      </c>
      <c r="B34" s="19" t="s">
        <v>126</v>
      </c>
      <c r="C34" s="6"/>
      <c r="D34" s="6"/>
      <c r="E34" s="6"/>
      <c r="F34" s="6"/>
      <c r="G34" s="6"/>
      <c r="H34" s="6"/>
      <c r="I34" s="6"/>
      <c r="J34" s="6"/>
      <c r="K34" s="6"/>
      <c r="L34" s="6"/>
      <c r="M34" s="6"/>
      <c r="N34" s="6"/>
    </row>
    <row r="35" spans="1:14" ht="15" customHeight="1" x14ac:dyDescent="0.2">
      <c r="A35" s="6"/>
      <c r="B35" s="19" t="s">
        <v>129</v>
      </c>
      <c r="C35" s="6"/>
      <c r="D35" s="6"/>
      <c r="E35" s="6"/>
      <c r="F35" s="6"/>
      <c r="G35" s="6"/>
      <c r="H35" s="6"/>
      <c r="I35" s="6"/>
      <c r="J35" s="6"/>
      <c r="K35" s="6"/>
      <c r="L35" s="6"/>
      <c r="M35" s="6"/>
      <c r="N35" s="6"/>
    </row>
    <row r="36" spans="1:14" ht="6.95" customHeight="1" x14ac:dyDescent="0.2">
      <c r="A36" s="21"/>
      <c r="B36" s="6"/>
      <c r="C36" s="6"/>
      <c r="D36" s="6"/>
      <c r="E36" s="6"/>
      <c r="F36" s="6"/>
      <c r="G36" s="6"/>
      <c r="H36" s="6"/>
      <c r="I36" s="6"/>
      <c r="J36" s="6"/>
      <c r="K36" s="6"/>
      <c r="L36" s="6"/>
      <c r="M36" s="6"/>
      <c r="N36" s="6"/>
    </row>
    <row r="37" spans="1:14" ht="15" customHeight="1" x14ac:dyDescent="0.2">
      <c r="A37" s="21" t="s">
        <v>95</v>
      </c>
      <c r="B37" s="19" t="s">
        <v>102</v>
      </c>
      <c r="C37" s="6"/>
      <c r="D37" s="6"/>
      <c r="E37" s="6"/>
      <c r="F37" s="6"/>
      <c r="G37" s="6"/>
      <c r="H37" s="6"/>
      <c r="I37" s="6"/>
      <c r="J37" s="6"/>
      <c r="K37" s="6"/>
      <c r="L37" s="6"/>
      <c r="M37" s="6"/>
      <c r="N37" s="6"/>
    </row>
    <row r="38" spans="1:14" ht="6.95" customHeight="1" x14ac:dyDescent="0.2">
      <c r="A38" s="21"/>
      <c r="B38" s="19" t="s">
        <v>22</v>
      </c>
      <c r="C38" s="6"/>
      <c r="D38" s="6"/>
      <c r="E38" s="6"/>
      <c r="F38" s="6"/>
      <c r="G38" s="6"/>
      <c r="H38" s="6"/>
      <c r="I38" s="6"/>
      <c r="J38" s="6"/>
      <c r="K38" s="6"/>
      <c r="L38" s="6"/>
      <c r="M38" s="6"/>
      <c r="N38" s="6"/>
    </row>
    <row r="39" spans="1:14" ht="15" customHeight="1" x14ac:dyDescent="0.2">
      <c r="A39" s="21" t="s">
        <v>101</v>
      </c>
      <c r="B39" s="19" t="s">
        <v>103</v>
      </c>
      <c r="C39" s="6"/>
      <c r="D39" s="6"/>
      <c r="E39" s="6"/>
      <c r="F39" s="6"/>
      <c r="G39" s="6"/>
      <c r="H39" s="6"/>
      <c r="I39" s="6"/>
      <c r="J39" s="6"/>
      <c r="K39" s="6"/>
      <c r="L39" s="6"/>
      <c r="M39" s="6"/>
      <c r="N39" s="6"/>
    </row>
    <row r="40" spans="1:14" ht="15" customHeight="1" x14ac:dyDescent="0.2">
      <c r="A40" s="21"/>
      <c r="B40" s="19" t="s">
        <v>110</v>
      </c>
      <c r="C40" s="6"/>
      <c r="D40" s="6"/>
      <c r="E40" s="6"/>
      <c r="F40" s="6"/>
      <c r="G40" s="6"/>
      <c r="H40" s="6"/>
      <c r="I40" s="6"/>
      <c r="J40" s="6"/>
      <c r="K40" s="6"/>
      <c r="L40" s="6"/>
      <c r="M40" s="6"/>
      <c r="N40" s="6"/>
    </row>
    <row r="41" spans="1:14" ht="15" customHeight="1" x14ac:dyDescent="0.2">
      <c r="A41" s="21"/>
      <c r="B41" s="6"/>
      <c r="C41" s="6"/>
      <c r="D41" s="6"/>
      <c r="E41" s="6"/>
      <c r="F41" s="6"/>
      <c r="G41" s="6"/>
      <c r="H41" s="6"/>
      <c r="I41" s="6"/>
      <c r="J41" s="6"/>
      <c r="K41" s="6"/>
      <c r="L41" s="6"/>
      <c r="M41" s="6"/>
      <c r="N41" s="6"/>
    </row>
    <row r="42" spans="1:14" ht="15" customHeight="1" x14ac:dyDescent="0.2">
      <c r="A42" s="21"/>
      <c r="B42" s="20"/>
      <c r="C42" s="6"/>
      <c r="D42" s="6"/>
      <c r="E42" s="6"/>
      <c r="F42" s="6"/>
      <c r="G42" s="6"/>
      <c r="H42" s="6"/>
      <c r="I42" s="6"/>
      <c r="J42" s="6"/>
      <c r="K42" s="6"/>
      <c r="L42" s="6"/>
      <c r="M42" s="6"/>
      <c r="N42" s="6"/>
    </row>
    <row r="43" spans="1:14" ht="6.95" customHeight="1" x14ac:dyDescent="0.2">
      <c r="A43" s="21"/>
      <c r="B43" s="6"/>
      <c r="C43" s="6"/>
      <c r="D43" s="6"/>
      <c r="E43" s="6"/>
      <c r="F43" s="6"/>
      <c r="G43" s="6"/>
      <c r="H43" s="6"/>
      <c r="I43" s="6"/>
      <c r="J43" s="6"/>
      <c r="K43" s="6"/>
      <c r="L43" s="6"/>
      <c r="M43" s="6"/>
      <c r="N43" s="6"/>
    </row>
    <row r="44" spans="1:14" ht="15" customHeight="1" x14ac:dyDescent="0.2">
      <c r="A44" s="21"/>
      <c r="B44" s="6"/>
      <c r="C44" s="6"/>
      <c r="D44" s="6"/>
      <c r="E44" s="6"/>
      <c r="F44" s="6"/>
      <c r="G44" s="6"/>
      <c r="H44" s="6"/>
      <c r="I44" s="6"/>
      <c r="J44" s="6"/>
      <c r="K44" s="6"/>
      <c r="L44" s="6"/>
      <c r="M44" s="6"/>
      <c r="N44" s="6"/>
    </row>
    <row r="45" spans="1:14" ht="6.95" customHeight="1" x14ac:dyDescent="0.2">
      <c r="A45" s="21"/>
      <c r="B45" s="6"/>
      <c r="C45" s="6"/>
      <c r="D45" s="6"/>
      <c r="E45" s="6"/>
      <c r="F45" s="6"/>
      <c r="G45" s="6"/>
      <c r="H45" s="6"/>
      <c r="I45" s="6"/>
      <c r="J45" s="6"/>
      <c r="K45" s="6"/>
      <c r="L45" s="6"/>
      <c r="M45" s="6"/>
      <c r="N45" s="6"/>
    </row>
    <row r="46" spans="1:14" ht="15" customHeight="1" x14ac:dyDescent="0.2">
      <c r="A46" s="21"/>
      <c r="B46" s="6"/>
      <c r="C46" s="6"/>
      <c r="D46" s="6"/>
      <c r="E46" s="6"/>
      <c r="F46" s="6"/>
      <c r="G46" s="6"/>
      <c r="H46" s="6"/>
      <c r="I46" s="6"/>
      <c r="J46" s="6"/>
      <c r="K46" s="6"/>
      <c r="L46" s="6"/>
      <c r="M46" s="6"/>
      <c r="N46" s="6"/>
    </row>
    <row r="47" spans="1:14" ht="6.95" customHeight="1" x14ac:dyDescent="0.2">
      <c r="A47" s="21"/>
      <c r="B47" s="6"/>
      <c r="C47" s="6"/>
      <c r="D47" s="6"/>
      <c r="E47" s="6"/>
      <c r="F47" s="6"/>
      <c r="G47" s="6"/>
      <c r="H47" s="6"/>
      <c r="I47" s="6"/>
      <c r="J47" s="6"/>
      <c r="K47" s="6"/>
      <c r="L47" s="6"/>
      <c r="M47" s="6"/>
      <c r="N47" s="6"/>
    </row>
    <row r="48" spans="1:14" ht="15" customHeight="1" x14ac:dyDescent="0.2">
      <c r="A48" s="21"/>
      <c r="B48" s="6"/>
      <c r="C48" s="6"/>
      <c r="D48" s="6"/>
      <c r="E48" s="6"/>
      <c r="F48" s="6"/>
      <c r="G48" s="6"/>
      <c r="H48" s="6"/>
      <c r="I48" s="6"/>
      <c r="J48" s="6"/>
      <c r="K48" s="6"/>
      <c r="L48" s="6"/>
      <c r="M48" s="6"/>
      <c r="N48" s="6"/>
    </row>
    <row r="49" spans="1:14" ht="6.95" customHeight="1" x14ac:dyDescent="0.2">
      <c r="A49" s="21"/>
      <c r="B49" s="6"/>
      <c r="C49" s="6"/>
      <c r="D49" s="6"/>
      <c r="E49" s="6"/>
      <c r="F49" s="6"/>
      <c r="G49" s="6"/>
      <c r="H49" s="6"/>
      <c r="I49" s="6"/>
      <c r="J49" s="6"/>
      <c r="K49" s="6"/>
      <c r="L49" s="6"/>
      <c r="M49" s="6"/>
      <c r="N49" s="6"/>
    </row>
    <row r="50" spans="1:14" ht="15" customHeight="1" x14ac:dyDescent="0.2">
      <c r="A50" s="21"/>
      <c r="B50" s="6"/>
      <c r="C50" s="6"/>
      <c r="D50" s="6"/>
      <c r="E50" s="6"/>
      <c r="F50" s="6"/>
      <c r="G50" s="6"/>
      <c r="H50" s="6"/>
      <c r="I50" s="6"/>
      <c r="J50" s="6"/>
      <c r="K50" s="6"/>
      <c r="L50" s="6"/>
      <c r="M50" s="6"/>
      <c r="N50" s="6"/>
    </row>
    <row r="51" spans="1:14" ht="15" customHeight="1" x14ac:dyDescent="0.2">
      <c r="A51" s="21"/>
      <c r="B51" s="6"/>
      <c r="C51" s="6"/>
      <c r="D51" s="6"/>
      <c r="E51" s="6"/>
      <c r="F51" s="6"/>
      <c r="G51" s="6"/>
      <c r="H51" s="6"/>
      <c r="I51" s="6"/>
      <c r="J51" s="6"/>
      <c r="K51" s="6"/>
      <c r="L51" s="6"/>
      <c r="M51" s="6"/>
      <c r="N51" s="6"/>
    </row>
    <row r="52" spans="1:14" ht="6.95" customHeight="1" x14ac:dyDescent="0.2">
      <c r="A52" s="21"/>
      <c r="B52" s="6"/>
      <c r="C52" s="6"/>
      <c r="D52" s="6"/>
      <c r="E52" s="6"/>
      <c r="F52" s="6"/>
      <c r="G52" s="6"/>
      <c r="H52" s="6"/>
      <c r="I52" s="6"/>
      <c r="J52" s="6"/>
      <c r="K52" s="6"/>
      <c r="L52" s="6"/>
      <c r="M52" s="6"/>
      <c r="N52" s="6"/>
    </row>
    <row r="53" spans="1:14" ht="15" customHeight="1" x14ac:dyDescent="0.2">
      <c r="A53" s="21"/>
      <c r="B53" s="6"/>
      <c r="C53" s="6"/>
      <c r="D53" s="6"/>
      <c r="E53" s="6"/>
      <c r="F53" s="6"/>
      <c r="G53" s="6"/>
      <c r="H53" s="6"/>
      <c r="I53" s="6"/>
      <c r="J53" s="6"/>
      <c r="K53" s="6"/>
      <c r="L53" s="6"/>
      <c r="M53" s="6"/>
      <c r="N53" s="6"/>
    </row>
    <row r="54" spans="1:14" ht="15" customHeight="1" x14ac:dyDescent="0.2">
      <c r="A54" s="21"/>
      <c r="B54" s="6"/>
      <c r="C54" s="6"/>
      <c r="D54" s="6"/>
      <c r="E54" s="6"/>
      <c r="F54" s="6"/>
      <c r="G54" s="6"/>
      <c r="H54" s="6"/>
      <c r="I54" s="6"/>
      <c r="J54" s="6"/>
      <c r="K54" s="6"/>
      <c r="L54" s="6"/>
      <c r="M54" s="6"/>
      <c r="N54" s="6"/>
    </row>
    <row r="55" spans="1:14" ht="6.95" customHeight="1" x14ac:dyDescent="0.2">
      <c r="A55" s="21"/>
      <c r="B55" s="6"/>
      <c r="C55" s="6"/>
      <c r="D55" s="6"/>
      <c r="E55" s="6"/>
      <c r="F55" s="6"/>
      <c r="G55" s="6"/>
      <c r="H55" s="6"/>
      <c r="I55" s="6"/>
      <c r="J55" s="6"/>
      <c r="K55" s="6"/>
      <c r="L55" s="6"/>
      <c r="M55" s="6"/>
      <c r="N55" s="6"/>
    </row>
    <row r="56" spans="1:14" ht="15" customHeight="1" x14ac:dyDescent="0.2">
      <c r="A56" s="21"/>
      <c r="B56" s="6"/>
      <c r="C56" s="6"/>
      <c r="D56" s="6"/>
      <c r="E56" s="6"/>
      <c r="F56" s="6"/>
      <c r="G56" s="6"/>
      <c r="H56" s="6"/>
      <c r="I56" s="6"/>
      <c r="J56" s="6"/>
      <c r="K56" s="6"/>
      <c r="L56" s="6"/>
      <c r="M56" s="6"/>
      <c r="N56" s="6"/>
    </row>
    <row r="57" spans="1:14" ht="15" customHeight="1" x14ac:dyDescent="0.2">
      <c r="A57" s="21"/>
      <c r="B57" s="6"/>
      <c r="C57" s="6"/>
      <c r="D57" s="6"/>
      <c r="E57" s="6"/>
      <c r="F57" s="6"/>
      <c r="G57" s="6"/>
      <c r="H57" s="6"/>
      <c r="I57" s="6"/>
      <c r="J57" s="6"/>
      <c r="K57" s="6"/>
      <c r="L57" s="6"/>
      <c r="M57" s="6"/>
      <c r="N57" s="6"/>
    </row>
    <row r="58" spans="1:14" ht="6.95" customHeight="1" x14ac:dyDescent="0.2">
      <c r="A58" s="21"/>
      <c r="B58" s="6"/>
      <c r="C58" s="6"/>
      <c r="D58" s="6"/>
      <c r="E58" s="6"/>
      <c r="F58" s="6"/>
      <c r="G58" s="6"/>
      <c r="H58" s="6"/>
      <c r="I58" s="6"/>
      <c r="J58" s="6"/>
      <c r="K58" s="6"/>
      <c r="L58" s="6"/>
      <c r="M58" s="6"/>
      <c r="N58" s="6"/>
    </row>
    <row r="59" spans="1:14" ht="15" customHeight="1" x14ac:dyDescent="0.2">
      <c r="A59" s="21"/>
      <c r="B59" s="6"/>
      <c r="C59" s="6"/>
      <c r="D59" s="6"/>
      <c r="E59" s="6"/>
      <c r="F59" s="6"/>
      <c r="G59" s="6"/>
      <c r="H59" s="6"/>
      <c r="I59" s="6"/>
      <c r="J59" s="6"/>
      <c r="K59" s="6"/>
      <c r="L59" s="6"/>
      <c r="M59" s="6"/>
      <c r="N59" s="6"/>
    </row>
    <row r="60" spans="1:14" ht="6.95" customHeight="1" x14ac:dyDescent="0.2">
      <c r="A60" s="21"/>
      <c r="B60" s="6"/>
      <c r="C60" s="6"/>
      <c r="D60" s="6"/>
      <c r="E60" s="6"/>
      <c r="F60" s="6"/>
      <c r="G60" s="6"/>
      <c r="H60" s="6"/>
      <c r="I60" s="6"/>
      <c r="J60" s="6"/>
      <c r="K60" s="6"/>
      <c r="L60" s="6"/>
      <c r="M60" s="6"/>
      <c r="N60" s="6"/>
    </row>
    <row r="61" spans="1:14" ht="15" customHeight="1" x14ac:dyDescent="0.2">
      <c r="A61" s="21"/>
      <c r="B61" s="6"/>
      <c r="C61" s="6"/>
      <c r="D61" s="6"/>
      <c r="E61" s="6"/>
      <c r="F61" s="6"/>
      <c r="G61" s="6"/>
      <c r="H61" s="6"/>
      <c r="I61" s="6"/>
      <c r="J61" s="6"/>
      <c r="K61" s="6"/>
      <c r="L61" s="6"/>
      <c r="M61" s="6"/>
      <c r="N61" s="6"/>
    </row>
    <row r="62" spans="1:14" ht="15" customHeight="1" x14ac:dyDescent="0.2">
      <c r="A62" s="21"/>
      <c r="B62" s="6"/>
      <c r="C62" s="6"/>
      <c r="D62" s="6"/>
      <c r="E62" s="6"/>
      <c r="F62" s="6"/>
      <c r="G62" s="6"/>
      <c r="H62" s="6"/>
      <c r="I62" s="6"/>
      <c r="J62" s="6"/>
      <c r="K62" s="6"/>
      <c r="L62" s="6"/>
      <c r="M62" s="6"/>
      <c r="N62" s="6"/>
    </row>
    <row r="63" spans="1:14" ht="15" customHeight="1" x14ac:dyDescent="0.2">
      <c r="A63" s="21"/>
      <c r="B63" s="20"/>
      <c r="C63" s="6"/>
      <c r="D63" s="6"/>
      <c r="E63" s="6"/>
      <c r="F63" s="6"/>
      <c r="G63" s="6"/>
      <c r="H63" s="6"/>
      <c r="I63" s="6"/>
      <c r="J63" s="6"/>
      <c r="K63" s="6"/>
      <c r="L63" s="6"/>
      <c r="M63" s="6"/>
      <c r="N63" s="6"/>
    </row>
    <row r="64" spans="1:14" ht="6.95" customHeight="1" x14ac:dyDescent="0.2">
      <c r="A64" s="21"/>
      <c r="B64" s="6"/>
      <c r="C64" s="6"/>
      <c r="D64" s="6"/>
      <c r="E64" s="6"/>
      <c r="F64" s="6"/>
      <c r="G64" s="6"/>
      <c r="H64" s="6"/>
      <c r="I64" s="6"/>
      <c r="J64" s="6"/>
      <c r="K64" s="6"/>
      <c r="L64" s="6"/>
      <c r="M64" s="6"/>
      <c r="N64" s="6"/>
    </row>
    <row r="65" spans="1:14" ht="15" customHeight="1" x14ac:dyDescent="0.2">
      <c r="A65" s="21"/>
      <c r="B65" s="6"/>
      <c r="C65" s="6"/>
      <c r="D65" s="6"/>
      <c r="E65" s="6"/>
      <c r="F65" s="6"/>
      <c r="G65" s="6"/>
      <c r="H65" s="6"/>
      <c r="I65" s="6"/>
      <c r="J65" s="6"/>
      <c r="K65" s="6"/>
      <c r="L65" s="6"/>
      <c r="M65" s="6"/>
      <c r="N65" s="6"/>
    </row>
    <row r="66" spans="1:14" ht="6.95" customHeight="1" x14ac:dyDescent="0.2">
      <c r="A66" s="21"/>
      <c r="B66" s="6"/>
      <c r="C66" s="6"/>
      <c r="D66" s="6"/>
      <c r="E66" s="6"/>
      <c r="F66" s="6"/>
      <c r="G66" s="6"/>
      <c r="H66" s="6"/>
      <c r="I66" s="6"/>
      <c r="J66" s="6"/>
      <c r="K66" s="6"/>
      <c r="L66" s="6"/>
      <c r="M66" s="6"/>
      <c r="N66" s="6"/>
    </row>
    <row r="67" spans="1:14" ht="15" customHeight="1" x14ac:dyDescent="0.2">
      <c r="A67" s="21"/>
      <c r="B67" s="6"/>
      <c r="C67" s="6"/>
      <c r="D67" s="6"/>
      <c r="E67" s="6"/>
      <c r="F67" s="6"/>
      <c r="G67" s="6"/>
      <c r="H67" s="6"/>
      <c r="I67" s="6"/>
      <c r="J67" s="6"/>
      <c r="K67" s="6"/>
      <c r="L67" s="6"/>
      <c r="M67" s="6"/>
      <c r="N67" s="6"/>
    </row>
    <row r="68" spans="1:14" ht="6.95" customHeight="1" x14ac:dyDescent="0.2">
      <c r="A68" s="21"/>
      <c r="B68" s="6"/>
      <c r="C68" s="6"/>
      <c r="D68" s="6"/>
      <c r="E68" s="6"/>
      <c r="F68" s="6"/>
      <c r="G68" s="6"/>
      <c r="H68" s="6"/>
      <c r="I68" s="6"/>
      <c r="J68" s="6"/>
      <c r="K68" s="6"/>
      <c r="L68" s="6"/>
      <c r="M68" s="6"/>
      <c r="N68" s="6"/>
    </row>
    <row r="69" spans="1:14" ht="15" customHeight="1" x14ac:dyDescent="0.2">
      <c r="A69" s="21"/>
      <c r="B69" s="6"/>
      <c r="C69" s="6"/>
      <c r="D69" s="6"/>
      <c r="E69" s="6"/>
      <c r="F69" s="6"/>
      <c r="G69" s="6"/>
      <c r="H69" s="6"/>
      <c r="I69" s="6"/>
      <c r="J69" s="6"/>
      <c r="K69" s="6"/>
      <c r="L69" s="6"/>
      <c r="M69" s="6"/>
      <c r="N69" s="6"/>
    </row>
    <row r="70" spans="1:14" ht="6.95" customHeight="1" x14ac:dyDescent="0.2">
      <c r="A70" s="21"/>
      <c r="B70" s="6"/>
      <c r="C70" s="6"/>
      <c r="D70" s="6"/>
      <c r="E70" s="6"/>
      <c r="F70" s="6"/>
      <c r="G70" s="6"/>
      <c r="H70" s="6"/>
      <c r="I70" s="6"/>
      <c r="J70" s="6"/>
      <c r="K70" s="6"/>
      <c r="L70" s="6"/>
      <c r="M70" s="6"/>
      <c r="N70" s="6"/>
    </row>
    <row r="71" spans="1:14" ht="15" customHeight="1" x14ac:dyDescent="0.2">
      <c r="A71" s="21"/>
      <c r="B71" s="6"/>
      <c r="C71" s="6"/>
      <c r="D71" s="6"/>
      <c r="E71" s="6"/>
      <c r="F71" s="6"/>
      <c r="G71" s="6"/>
      <c r="H71" s="6"/>
      <c r="I71" s="6"/>
      <c r="J71" s="6"/>
      <c r="K71" s="6"/>
      <c r="L71" s="6"/>
      <c r="M71" s="6"/>
      <c r="N71" s="6"/>
    </row>
    <row r="72" spans="1:14" ht="15" customHeight="1" x14ac:dyDescent="0.2">
      <c r="A72" s="21"/>
      <c r="B72" s="6"/>
      <c r="C72" s="6"/>
      <c r="D72" s="6"/>
      <c r="E72" s="6"/>
      <c r="F72" s="6"/>
      <c r="G72" s="6"/>
      <c r="H72" s="6"/>
      <c r="I72" s="6"/>
      <c r="J72" s="6"/>
      <c r="K72" s="6"/>
      <c r="L72" s="6"/>
      <c r="M72" s="6"/>
      <c r="N72" s="6"/>
    </row>
    <row r="73" spans="1:14" ht="6.95" customHeight="1" x14ac:dyDescent="0.2">
      <c r="A73" s="21"/>
      <c r="B73" s="6"/>
      <c r="C73" s="6"/>
      <c r="D73" s="6"/>
      <c r="E73" s="6"/>
      <c r="F73" s="6"/>
      <c r="G73" s="6"/>
      <c r="H73" s="6"/>
      <c r="I73" s="6"/>
      <c r="J73" s="6"/>
      <c r="K73" s="6"/>
      <c r="L73" s="6"/>
      <c r="M73" s="6"/>
      <c r="N73" s="6"/>
    </row>
    <row r="74" spans="1:14" x14ac:dyDescent="0.2">
      <c r="A74" s="21"/>
      <c r="B74" s="6"/>
      <c r="C74" s="6"/>
      <c r="D74" s="6"/>
      <c r="E74" s="6"/>
      <c r="F74" s="6"/>
      <c r="G74" s="6"/>
      <c r="H74" s="6"/>
      <c r="I74" s="6"/>
      <c r="J74" s="6"/>
      <c r="K74" s="6"/>
      <c r="L74" s="6"/>
      <c r="M74" s="6"/>
      <c r="N74" s="6"/>
    </row>
    <row r="75" spans="1:14" ht="6.95" customHeight="1" x14ac:dyDescent="0.2">
      <c r="A75" s="21"/>
      <c r="B75" s="6"/>
      <c r="C75" s="6"/>
      <c r="D75" s="6"/>
      <c r="E75" s="6"/>
      <c r="F75" s="6"/>
      <c r="G75" s="6"/>
      <c r="H75" s="6"/>
      <c r="I75" s="6"/>
      <c r="J75" s="6"/>
      <c r="K75" s="6"/>
      <c r="L75" s="6"/>
      <c r="M75" s="6"/>
      <c r="N75" s="6"/>
    </row>
    <row r="76" spans="1:14" x14ac:dyDescent="0.2">
      <c r="A76" s="21"/>
      <c r="B76" s="6"/>
      <c r="C76" s="6"/>
      <c r="D76" s="6"/>
      <c r="E76" s="6"/>
      <c r="F76" s="6"/>
      <c r="G76" s="6"/>
      <c r="H76" s="6"/>
      <c r="I76" s="6"/>
      <c r="J76" s="6"/>
      <c r="K76" s="6"/>
      <c r="L76" s="6"/>
      <c r="M76" s="6"/>
      <c r="N76" s="6"/>
    </row>
    <row r="77" spans="1:14" x14ac:dyDescent="0.2">
      <c r="A77" s="21"/>
      <c r="B77" s="6"/>
      <c r="C77" s="6"/>
      <c r="D77" s="6"/>
      <c r="E77" s="6"/>
      <c r="F77" s="6"/>
      <c r="G77" s="6"/>
      <c r="H77" s="6"/>
      <c r="I77" s="6"/>
      <c r="J77" s="6"/>
      <c r="K77" s="6"/>
      <c r="L77" s="6"/>
      <c r="M77" s="6"/>
      <c r="N77" s="6"/>
    </row>
    <row r="78" spans="1:14" x14ac:dyDescent="0.2">
      <c r="A78" s="21"/>
      <c r="B78" s="6"/>
      <c r="C78" s="6"/>
      <c r="D78" s="6"/>
      <c r="E78" s="6"/>
      <c r="F78" s="6"/>
      <c r="G78" s="6"/>
      <c r="H78" s="6"/>
      <c r="I78" s="6"/>
      <c r="J78" s="6"/>
      <c r="K78" s="6"/>
      <c r="L78" s="6"/>
      <c r="M78" s="6"/>
      <c r="N78" s="6"/>
    </row>
    <row r="79" spans="1:14" ht="6.95" customHeight="1" x14ac:dyDescent="0.2">
      <c r="A79" s="21"/>
      <c r="B79" s="6"/>
      <c r="C79" s="6"/>
      <c r="D79" s="6"/>
      <c r="E79" s="6"/>
      <c r="F79" s="6"/>
      <c r="G79" s="6"/>
      <c r="H79" s="6"/>
      <c r="I79" s="6"/>
      <c r="J79" s="6"/>
      <c r="K79" s="6"/>
      <c r="L79" s="6"/>
      <c r="M79" s="6"/>
      <c r="N79" s="6"/>
    </row>
    <row r="80" spans="1:14" x14ac:dyDescent="0.2">
      <c r="A80" s="21"/>
      <c r="B80" s="6"/>
      <c r="C80" s="6"/>
      <c r="D80" s="6"/>
      <c r="E80" s="6"/>
      <c r="F80" s="6"/>
      <c r="G80" s="6"/>
      <c r="H80" s="6"/>
      <c r="I80" s="6"/>
      <c r="J80" s="6"/>
      <c r="K80" s="6"/>
      <c r="L80" s="6"/>
      <c r="M80" s="6"/>
      <c r="N80" s="6"/>
    </row>
    <row r="81" spans="1:14" ht="6.95" customHeight="1" x14ac:dyDescent="0.2">
      <c r="A81" s="21"/>
      <c r="B81" s="6"/>
      <c r="C81" s="6"/>
      <c r="D81" s="6"/>
      <c r="E81" s="6"/>
      <c r="F81" s="6"/>
      <c r="G81" s="6"/>
      <c r="H81" s="6"/>
      <c r="I81" s="6"/>
      <c r="J81" s="6"/>
      <c r="K81" s="6"/>
      <c r="L81" s="6"/>
      <c r="M81" s="6"/>
      <c r="N81" s="6"/>
    </row>
    <row r="82" spans="1:14" x14ac:dyDescent="0.2">
      <c r="A82" s="21"/>
      <c r="B82" s="6"/>
      <c r="C82" s="6"/>
      <c r="D82" s="6"/>
      <c r="E82" s="6"/>
      <c r="F82" s="6"/>
      <c r="G82" s="6"/>
      <c r="H82" s="6"/>
      <c r="I82" s="6"/>
      <c r="J82" s="6"/>
      <c r="K82" s="6"/>
      <c r="L82" s="6"/>
      <c r="M82" s="6"/>
      <c r="N82" s="6"/>
    </row>
    <row r="83" spans="1:14" x14ac:dyDescent="0.2">
      <c r="A83" s="21"/>
      <c r="B83" s="6"/>
      <c r="C83" s="6"/>
      <c r="D83" s="6"/>
      <c r="E83" s="6"/>
      <c r="F83" s="6"/>
      <c r="G83" s="6"/>
      <c r="H83" s="6"/>
      <c r="I83" s="6"/>
      <c r="J83" s="6"/>
      <c r="K83" s="6"/>
      <c r="L83" s="6"/>
      <c r="M83" s="6"/>
      <c r="N83" s="6"/>
    </row>
    <row r="84" spans="1:14" ht="6.95" customHeight="1" x14ac:dyDescent="0.2">
      <c r="A84" s="21"/>
      <c r="B84" s="6"/>
      <c r="C84" s="6"/>
      <c r="D84" s="6"/>
      <c r="E84" s="6"/>
      <c r="F84" s="6"/>
      <c r="G84" s="6"/>
      <c r="H84" s="6"/>
      <c r="I84" s="6"/>
      <c r="J84" s="6"/>
      <c r="K84" s="6"/>
      <c r="L84" s="6"/>
      <c r="M84" s="6"/>
      <c r="N84" s="6"/>
    </row>
    <row r="85" spans="1:14" x14ac:dyDescent="0.2">
      <c r="A85" s="21"/>
      <c r="B85" s="6"/>
      <c r="C85" s="6"/>
      <c r="D85" s="6"/>
      <c r="E85" s="6"/>
      <c r="F85" s="6"/>
      <c r="G85" s="6"/>
      <c r="H85" s="6"/>
      <c r="I85" s="6"/>
      <c r="J85" s="6"/>
      <c r="K85" s="6"/>
      <c r="L85" s="6"/>
      <c r="M85" s="6"/>
      <c r="N85" s="6"/>
    </row>
    <row r="86" spans="1:14" ht="6.95" customHeight="1" x14ac:dyDescent="0.2">
      <c r="A86" s="21"/>
      <c r="B86" s="6"/>
      <c r="C86" s="6"/>
      <c r="D86" s="6"/>
      <c r="E86" s="6"/>
      <c r="F86" s="6"/>
      <c r="G86" s="6"/>
      <c r="H86" s="6"/>
      <c r="I86" s="6"/>
      <c r="J86" s="6"/>
      <c r="K86" s="6"/>
      <c r="L86" s="6"/>
      <c r="M86" s="6"/>
      <c r="N86" s="6"/>
    </row>
    <row r="87" spans="1:14" x14ac:dyDescent="0.2">
      <c r="A87" s="21"/>
      <c r="B87" s="6"/>
      <c r="C87" s="6"/>
      <c r="D87" s="6"/>
      <c r="E87" s="6"/>
      <c r="F87" s="6"/>
      <c r="G87" s="6"/>
      <c r="H87" s="6"/>
      <c r="I87" s="6"/>
      <c r="J87" s="6"/>
      <c r="K87" s="6"/>
      <c r="L87" s="6"/>
      <c r="M87" s="6"/>
      <c r="N87" s="6"/>
    </row>
    <row r="88" spans="1:14" x14ac:dyDescent="0.2">
      <c r="A88" s="21"/>
      <c r="B88" s="6"/>
      <c r="C88" s="6"/>
      <c r="D88" s="6"/>
      <c r="E88" s="6"/>
      <c r="F88" s="6"/>
      <c r="G88" s="6"/>
      <c r="H88" s="6"/>
      <c r="I88" s="6"/>
      <c r="J88" s="6"/>
      <c r="K88" s="6"/>
      <c r="L88" s="6"/>
      <c r="M88" s="6"/>
      <c r="N88" s="6"/>
    </row>
    <row r="89" spans="1:14" x14ac:dyDescent="0.2">
      <c r="A89" s="21"/>
      <c r="B89" s="6"/>
      <c r="C89" s="6"/>
      <c r="D89" s="6"/>
      <c r="E89" s="6"/>
      <c r="F89" s="6"/>
      <c r="G89" s="6"/>
      <c r="H89" s="6"/>
      <c r="I89" s="6"/>
      <c r="J89" s="6"/>
      <c r="K89" s="6"/>
      <c r="L89" s="6"/>
      <c r="M89" s="6"/>
      <c r="N89" s="6"/>
    </row>
    <row r="90" spans="1:14" x14ac:dyDescent="0.2">
      <c r="A90" s="21"/>
      <c r="B90" s="6"/>
      <c r="C90" s="6"/>
      <c r="D90" s="6"/>
      <c r="E90" s="6"/>
      <c r="F90" s="6"/>
      <c r="G90" s="6"/>
      <c r="H90" s="6"/>
      <c r="I90" s="6"/>
      <c r="J90" s="6"/>
      <c r="K90" s="6"/>
      <c r="L90" s="6"/>
      <c r="M90" s="6"/>
      <c r="N90" s="6"/>
    </row>
    <row r="91" spans="1:14" x14ac:dyDescent="0.2">
      <c r="A91" s="21"/>
      <c r="B91" s="6"/>
      <c r="C91" s="6"/>
      <c r="D91" s="6"/>
      <c r="E91" s="6"/>
      <c r="F91" s="6"/>
      <c r="G91" s="6"/>
      <c r="H91" s="6"/>
      <c r="I91" s="6"/>
      <c r="J91" s="6"/>
      <c r="K91" s="6"/>
      <c r="L91" s="6"/>
      <c r="M91" s="6"/>
      <c r="N91" s="6"/>
    </row>
    <row r="92" spans="1:14" x14ac:dyDescent="0.2">
      <c r="A92" s="21"/>
      <c r="B92" s="6"/>
      <c r="C92" s="6"/>
      <c r="D92" s="6"/>
      <c r="E92" s="6"/>
      <c r="F92" s="6"/>
      <c r="G92" s="6"/>
      <c r="H92" s="6"/>
      <c r="I92" s="6"/>
      <c r="J92" s="6"/>
      <c r="K92" s="6"/>
      <c r="L92" s="6"/>
      <c r="M92" s="6"/>
      <c r="N92" s="6"/>
    </row>
    <row r="93" spans="1:14" x14ac:dyDescent="0.2">
      <c r="A93" s="21"/>
      <c r="B93" s="6"/>
      <c r="C93" s="6"/>
      <c r="D93" s="6"/>
      <c r="E93" s="6"/>
      <c r="F93" s="6"/>
      <c r="G93" s="6"/>
      <c r="H93" s="6"/>
      <c r="I93" s="6"/>
      <c r="J93" s="6"/>
      <c r="K93" s="6"/>
      <c r="L93" s="6"/>
      <c r="M93" s="6"/>
      <c r="N93" s="6"/>
    </row>
    <row r="94" spans="1:14" x14ac:dyDescent="0.2">
      <c r="A94" s="21"/>
      <c r="B94" s="6"/>
      <c r="C94" s="6"/>
      <c r="D94" s="6"/>
      <c r="E94" s="6"/>
      <c r="F94" s="6"/>
      <c r="G94" s="6"/>
      <c r="H94" s="6"/>
      <c r="I94" s="6"/>
      <c r="J94" s="6"/>
      <c r="K94" s="6"/>
      <c r="L94" s="6"/>
      <c r="M94" s="6"/>
      <c r="N94" s="6"/>
    </row>
    <row r="95" spans="1:14" x14ac:dyDescent="0.2">
      <c r="A95" s="21"/>
      <c r="B95" s="6"/>
      <c r="C95" s="6"/>
      <c r="D95" s="6"/>
      <c r="E95" s="6"/>
      <c r="F95" s="6"/>
      <c r="G95" s="6"/>
      <c r="H95" s="6"/>
      <c r="I95" s="6"/>
      <c r="J95" s="6"/>
      <c r="K95" s="6"/>
      <c r="L95" s="6"/>
      <c r="M95" s="6"/>
      <c r="N95" s="6"/>
    </row>
    <row r="96" spans="1:14" x14ac:dyDescent="0.2">
      <c r="A96" s="21"/>
      <c r="B96" s="6"/>
      <c r="C96" s="6"/>
      <c r="D96" s="6"/>
      <c r="E96" s="6"/>
      <c r="F96" s="6"/>
      <c r="G96" s="6"/>
      <c r="H96" s="6"/>
      <c r="I96" s="6"/>
      <c r="J96" s="6"/>
      <c r="K96" s="6"/>
      <c r="L96" s="6"/>
      <c r="M96" s="6"/>
      <c r="N96" s="6"/>
    </row>
    <row r="97" spans="1:14" x14ac:dyDescent="0.2">
      <c r="A97" s="21"/>
      <c r="B97" s="6"/>
      <c r="C97" s="6"/>
      <c r="D97" s="6"/>
      <c r="E97" s="6"/>
      <c r="F97" s="6"/>
      <c r="G97" s="6"/>
      <c r="H97" s="6"/>
      <c r="I97" s="6"/>
      <c r="J97" s="6"/>
      <c r="K97" s="6"/>
      <c r="L97" s="6"/>
      <c r="M97" s="6"/>
      <c r="N97" s="6"/>
    </row>
    <row r="98" spans="1:14" x14ac:dyDescent="0.2">
      <c r="A98" s="21"/>
      <c r="B98" s="6"/>
      <c r="C98" s="6"/>
      <c r="D98" s="6"/>
      <c r="E98" s="6"/>
      <c r="F98" s="6"/>
      <c r="G98" s="6"/>
      <c r="H98" s="6"/>
      <c r="I98" s="6"/>
      <c r="J98" s="6"/>
      <c r="K98" s="6"/>
      <c r="L98" s="6"/>
      <c r="M98" s="6"/>
      <c r="N98" s="6"/>
    </row>
    <row r="99" spans="1:14" x14ac:dyDescent="0.2">
      <c r="A99" s="21"/>
      <c r="B99" s="6"/>
      <c r="C99" s="6"/>
      <c r="D99" s="6"/>
      <c r="E99" s="6"/>
      <c r="F99" s="6"/>
      <c r="G99" s="6"/>
      <c r="H99" s="6"/>
      <c r="I99" s="6"/>
      <c r="J99" s="6"/>
      <c r="K99" s="6"/>
      <c r="L99" s="6"/>
      <c r="M99" s="6"/>
      <c r="N99" s="6"/>
    </row>
    <row r="100" spans="1:14" x14ac:dyDescent="0.2">
      <c r="A100" s="21"/>
      <c r="B100" s="6"/>
      <c r="C100" s="6"/>
      <c r="D100" s="6"/>
      <c r="E100" s="6"/>
      <c r="F100" s="6"/>
      <c r="G100" s="6"/>
      <c r="H100" s="6"/>
      <c r="I100" s="6"/>
      <c r="J100" s="6"/>
      <c r="K100" s="6"/>
      <c r="L100" s="6"/>
      <c r="M100" s="6"/>
      <c r="N100" s="6"/>
    </row>
    <row r="101" spans="1:14" x14ac:dyDescent="0.2">
      <c r="A101" s="21"/>
      <c r="B101" s="6"/>
      <c r="C101" s="6"/>
      <c r="D101" s="6"/>
      <c r="E101" s="6"/>
      <c r="F101" s="6"/>
      <c r="G101" s="6"/>
      <c r="H101" s="6"/>
      <c r="I101" s="6"/>
      <c r="J101" s="6"/>
      <c r="K101" s="6"/>
      <c r="L101" s="6"/>
      <c r="M101" s="6"/>
      <c r="N101" s="6"/>
    </row>
    <row r="102" spans="1:14" x14ac:dyDescent="0.2">
      <c r="A102" s="21"/>
      <c r="B102" s="6"/>
      <c r="C102" s="6"/>
      <c r="D102" s="6"/>
      <c r="E102" s="6"/>
      <c r="F102" s="6"/>
      <c r="G102" s="6"/>
      <c r="H102" s="6"/>
      <c r="I102" s="6"/>
      <c r="J102" s="6"/>
      <c r="K102" s="6"/>
      <c r="L102" s="6"/>
      <c r="M102" s="6"/>
      <c r="N102" s="6"/>
    </row>
    <row r="103" spans="1:14" x14ac:dyDescent="0.2">
      <c r="A103" s="21"/>
      <c r="B103" s="6"/>
      <c r="C103" s="6"/>
      <c r="D103" s="6"/>
      <c r="E103" s="6"/>
      <c r="F103" s="6"/>
      <c r="G103" s="6"/>
      <c r="H103" s="6"/>
      <c r="I103" s="6"/>
      <c r="J103" s="6"/>
      <c r="K103" s="6"/>
      <c r="L103" s="6"/>
      <c r="M103" s="6"/>
      <c r="N103" s="6"/>
    </row>
    <row r="104" spans="1:14" x14ac:dyDescent="0.2">
      <c r="A104" s="21"/>
      <c r="B104" s="6"/>
      <c r="C104" s="6"/>
      <c r="D104" s="6"/>
      <c r="E104" s="6"/>
      <c r="F104" s="6"/>
      <c r="G104" s="6"/>
      <c r="H104" s="6"/>
      <c r="I104" s="6"/>
      <c r="J104" s="6"/>
      <c r="K104" s="6"/>
      <c r="L104" s="6"/>
      <c r="M104" s="6"/>
      <c r="N104" s="6"/>
    </row>
    <row r="105" spans="1:14" x14ac:dyDescent="0.2">
      <c r="A105" s="21"/>
      <c r="B105" s="6"/>
      <c r="C105" s="6"/>
      <c r="D105" s="6"/>
      <c r="E105" s="6"/>
      <c r="F105" s="6"/>
      <c r="G105" s="6"/>
      <c r="H105" s="6"/>
      <c r="I105" s="6"/>
      <c r="J105" s="6"/>
      <c r="K105" s="6"/>
      <c r="L105" s="6"/>
      <c r="M105" s="6"/>
      <c r="N105" s="6"/>
    </row>
    <row r="106" spans="1:14" x14ac:dyDescent="0.2">
      <c r="A106" s="6"/>
      <c r="B106" s="6"/>
      <c r="C106" s="6"/>
      <c r="D106" s="6"/>
      <c r="E106" s="6"/>
      <c r="F106" s="6"/>
      <c r="G106" s="6"/>
      <c r="H106" s="6"/>
      <c r="I106" s="6"/>
      <c r="J106" s="6"/>
      <c r="K106" s="6"/>
      <c r="L106" s="6"/>
      <c r="M106" s="6"/>
      <c r="N106" s="6"/>
    </row>
    <row r="107" spans="1:14" x14ac:dyDescent="0.2">
      <c r="A107" s="6"/>
      <c r="B107" s="6"/>
      <c r="C107" s="6"/>
      <c r="D107" s="6"/>
      <c r="E107" s="6"/>
      <c r="F107" s="6"/>
      <c r="G107" s="6"/>
      <c r="H107" s="6"/>
      <c r="I107" s="6"/>
      <c r="J107" s="6"/>
      <c r="K107" s="6"/>
      <c r="L107" s="6"/>
      <c r="M107" s="6"/>
      <c r="N107" s="6"/>
    </row>
    <row r="108" spans="1:14" x14ac:dyDescent="0.2">
      <c r="A108" s="6"/>
      <c r="B108" s="6"/>
      <c r="C108" s="6"/>
      <c r="D108" s="6"/>
      <c r="E108" s="6"/>
      <c r="F108" s="6"/>
      <c r="G108" s="6"/>
      <c r="H108" s="6"/>
      <c r="I108" s="6"/>
      <c r="J108" s="6"/>
      <c r="K108" s="6"/>
      <c r="L108" s="6"/>
      <c r="M108" s="6"/>
      <c r="N108" s="6"/>
    </row>
    <row r="109" spans="1:14" x14ac:dyDescent="0.2">
      <c r="A109" s="6"/>
      <c r="B109" s="6"/>
      <c r="C109" s="6"/>
      <c r="D109" s="6"/>
      <c r="E109" s="6"/>
      <c r="F109" s="6"/>
      <c r="G109" s="6"/>
      <c r="H109" s="6"/>
      <c r="I109" s="6"/>
      <c r="J109" s="6"/>
      <c r="K109" s="6"/>
      <c r="L109" s="6"/>
      <c r="M109" s="6"/>
      <c r="N109" s="6"/>
    </row>
    <row r="110" spans="1:14" x14ac:dyDescent="0.2">
      <c r="A110" s="6"/>
      <c r="B110" s="6"/>
      <c r="C110" s="6"/>
      <c r="D110" s="6"/>
      <c r="E110" s="6"/>
      <c r="F110" s="6"/>
      <c r="G110" s="6"/>
      <c r="H110" s="6"/>
      <c r="I110" s="6"/>
      <c r="J110" s="6"/>
      <c r="K110" s="6"/>
      <c r="L110" s="6"/>
      <c r="M110" s="6"/>
      <c r="N110" s="6"/>
    </row>
    <row r="111" spans="1:14" x14ac:dyDescent="0.2">
      <c r="A111" s="6"/>
      <c r="B111" s="6"/>
      <c r="C111" s="6"/>
      <c r="D111" s="6"/>
      <c r="E111" s="6"/>
      <c r="F111" s="6"/>
      <c r="G111" s="6"/>
      <c r="H111" s="6"/>
      <c r="I111" s="6"/>
      <c r="J111" s="6"/>
      <c r="K111" s="6"/>
      <c r="L111" s="6"/>
      <c r="M111" s="6"/>
      <c r="N111" s="6"/>
    </row>
    <row r="112" spans="1:14" x14ac:dyDescent="0.2">
      <c r="A112" s="6"/>
      <c r="B112" s="6"/>
      <c r="C112" s="6"/>
      <c r="D112" s="6"/>
      <c r="E112" s="6"/>
      <c r="F112" s="6"/>
      <c r="G112" s="6"/>
      <c r="H112" s="6"/>
      <c r="I112" s="6"/>
      <c r="J112" s="6"/>
      <c r="K112" s="6"/>
      <c r="L112" s="6"/>
      <c r="M112" s="6"/>
      <c r="N112" s="6"/>
    </row>
    <row r="113" spans="1:14" x14ac:dyDescent="0.2">
      <c r="A113" s="6"/>
      <c r="B113" s="6"/>
      <c r="C113" s="6"/>
      <c r="D113" s="6"/>
      <c r="E113" s="6"/>
      <c r="F113" s="6"/>
      <c r="G113" s="6"/>
      <c r="H113" s="6"/>
      <c r="I113" s="6"/>
      <c r="J113" s="6"/>
      <c r="K113" s="6"/>
      <c r="L113" s="6"/>
      <c r="M113" s="6"/>
      <c r="N113" s="6"/>
    </row>
    <row r="114" spans="1:14" x14ac:dyDescent="0.2">
      <c r="A114" s="6"/>
      <c r="B114" s="6"/>
      <c r="C114" s="6"/>
      <c r="D114" s="6"/>
      <c r="E114" s="6"/>
      <c r="F114" s="6"/>
      <c r="G114" s="6"/>
      <c r="H114" s="6"/>
      <c r="I114" s="6"/>
      <c r="J114" s="6"/>
      <c r="K114" s="6"/>
      <c r="L114" s="6"/>
      <c r="M114" s="6"/>
      <c r="N114" s="6"/>
    </row>
    <row r="115" spans="1:14" x14ac:dyDescent="0.2">
      <c r="A115" s="6"/>
      <c r="B115" s="6"/>
      <c r="C115" s="6"/>
      <c r="D115" s="6"/>
      <c r="E115" s="6"/>
      <c r="F115" s="6"/>
      <c r="G115" s="6"/>
      <c r="H115" s="6"/>
      <c r="I115" s="6"/>
      <c r="J115" s="6"/>
      <c r="K115" s="6"/>
      <c r="L115" s="6"/>
      <c r="M115" s="6"/>
      <c r="N115" s="6"/>
    </row>
    <row r="116" spans="1:14" x14ac:dyDescent="0.2">
      <c r="A116" s="6"/>
      <c r="B116" s="6"/>
      <c r="C116" s="6"/>
      <c r="D116" s="6"/>
      <c r="E116" s="6"/>
      <c r="F116" s="6"/>
      <c r="G116" s="6"/>
      <c r="H116" s="6"/>
      <c r="I116" s="6"/>
      <c r="J116" s="6"/>
      <c r="K116" s="6"/>
      <c r="L116" s="6"/>
      <c r="M116" s="6"/>
      <c r="N116" s="6"/>
    </row>
    <row r="117" spans="1:14" x14ac:dyDescent="0.2">
      <c r="A117" s="6"/>
      <c r="B117" s="6"/>
      <c r="C117" s="6"/>
      <c r="D117" s="6"/>
      <c r="E117" s="6"/>
      <c r="F117" s="6"/>
      <c r="G117" s="6"/>
      <c r="H117" s="6"/>
      <c r="I117" s="6"/>
      <c r="J117" s="6"/>
      <c r="K117" s="6"/>
      <c r="L117" s="6"/>
      <c r="M117" s="6"/>
      <c r="N117" s="6"/>
    </row>
    <row r="118" spans="1:14" x14ac:dyDescent="0.2">
      <c r="A118" s="6"/>
      <c r="B118" s="6"/>
      <c r="C118" s="6"/>
      <c r="D118" s="6"/>
      <c r="E118" s="6"/>
      <c r="F118" s="6"/>
      <c r="G118" s="6"/>
      <c r="H118" s="6"/>
      <c r="I118" s="6"/>
      <c r="J118" s="6"/>
      <c r="K118" s="6"/>
      <c r="L118" s="6"/>
      <c r="M118" s="6"/>
      <c r="N118" s="6"/>
    </row>
    <row r="119" spans="1:14" x14ac:dyDescent="0.2">
      <c r="A119" s="6"/>
      <c r="B119" s="6"/>
      <c r="C119" s="6"/>
      <c r="D119" s="6"/>
      <c r="E119" s="6"/>
      <c r="F119" s="6"/>
      <c r="G119" s="6"/>
      <c r="H119" s="6"/>
      <c r="I119" s="6"/>
      <c r="J119" s="6"/>
      <c r="K119" s="6"/>
      <c r="L119" s="6"/>
      <c r="M119" s="6"/>
      <c r="N119" s="6"/>
    </row>
    <row r="120" spans="1:14" x14ac:dyDescent="0.2">
      <c r="A120" s="6"/>
      <c r="B120" s="6"/>
      <c r="C120" s="6"/>
      <c r="D120" s="6"/>
      <c r="E120" s="6"/>
      <c r="F120" s="6"/>
      <c r="G120" s="6"/>
      <c r="H120" s="6"/>
      <c r="I120" s="6"/>
      <c r="J120" s="6"/>
      <c r="K120" s="6"/>
      <c r="L120" s="6"/>
      <c r="M120" s="6"/>
      <c r="N120" s="6"/>
    </row>
    <row r="121" spans="1:14" x14ac:dyDescent="0.2">
      <c r="A121" s="6"/>
      <c r="B121" s="6"/>
      <c r="C121" s="6"/>
      <c r="D121" s="6"/>
      <c r="E121" s="6"/>
      <c r="F121" s="6"/>
      <c r="G121" s="6"/>
      <c r="H121" s="6"/>
      <c r="I121" s="6"/>
      <c r="J121" s="6"/>
      <c r="K121" s="6"/>
      <c r="L121" s="6"/>
      <c r="M121" s="6"/>
      <c r="N121" s="6"/>
    </row>
    <row r="122" spans="1:14" x14ac:dyDescent="0.2">
      <c r="A122" s="6"/>
      <c r="B122" s="6"/>
      <c r="C122" s="6"/>
      <c r="D122" s="6"/>
      <c r="E122" s="6"/>
      <c r="F122" s="6"/>
      <c r="G122" s="6"/>
      <c r="H122" s="6"/>
      <c r="I122" s="6"/>
      <c r="J122" s="6"/>
      <c r="K122" s="6"/>
      <c r="L122" s="6"/>
      <c r="M122" s="6"/>
      <c r="N122" s="6"/>
    </row>
    <row r="123" spans="1:14" x14ac:dyDescent="0.2">
      <c r="A123" s="6"/>
      <c r="B123" s="6"/>
      <c r="C123" s="6"/>
      <c r="D123" s="6"/>
      <c r="E123" s="6"/>
      <c r="F123" s="6"/>
      <c r="G123" s="6"/>
      <c r="H123" s="6"/>
      <c r="I123" s="6"/>
      <c r="J123" s="6"/>
      <c r="K123" s="6"/>
      <c r="L123" s="6"/>
      <c r="M123" s="6"/>
      <c r="N123" s="6"/>
    </row>
    <row r="124" spans="1:14" x14ac:dyDescent="0.2">
      <c r="A124" s="6"/>
      <c r="B124" s="6"/>
      <c r="C124" s="6"/>
      <c r="D124" s="6"/>
      <c r="E124" s="6"/>
      <c r="F124" s="6"/>
      <c r="G124" s="6"/>
      <c r="H124" s="6"/>
      <c r="I124" s="6"/>
      <c r="J124" s="6"/>
      <c r="K124" s="6"/>
      <c r="L124" s="6"/>
      <c r="M124" s="6"/>
      <c r="N124" s="6"/>
    </row>
    <row r="125" spans="1:14" x14ac:dyDescent="0.2">
      <c r="A125" s="6"/>
      <c r="B125" s="6"/>
      <c r="C125" s="6"/>
      <c r="D125" s="6"/>
      <c r="E125" s="6"/>
      <c r="F125" s="6"/>
      <c r="G125" s="6"/>
      <c r="H125" s="6"/>
      <c r="I125" s="6"/>
      <c r="J125" s="6"/>
      <c r="K125" s="6"/>
      <c r="L125" s="6"/>
      <c r="M125" s="6"/>
      <c r="N125" s="6"/>
    </row>
    <row r="126" spans="1:14" x14ac:dyDescent="0.2">
      <c r="A126" s="6"/>
      <c r="B126" s="6"/>
      <c r="C126" s="6"/>
      <c r="D126" s="6"/>
      <c r="E126" s="6"/>
      <c r="F126" s="6"/>
      <c r="G126" s="6"/>
      <c r="H126" s="6"/>
      <c r="I126" s="6"/>
      <c r="J126" s="6"/>
      <c r="K126" s="6"/>
      <c r="L126" s="6"/>
      <c r="M126" s="6"/>
      <c r="N126" s="6"/>
    </row>
    <row r="127" spans="1:14" x14ac:dyDescent="0.2">
      <c r="A127" s="6"/>
      <c r="B127" s="6"/>
      <c r="C127" s="6"/>
      <c r="D127" s="6"/>
      <c r="E127" s="6"/>
      <c r="F127" s="6"/>
      <c r="G127" s="6"/>
      <c r="H127" s="6"/>
      <c r="I127" s="6"/>
      <c r="J127" s="6"/>
      <c r="K127" s="6"/>
      <c r="L127" s="6"/>
      <c r="M127" s="6"/>
      <c r="N127" s="6"/>
    </row>
    <row r="128" spans="1:14" x14ac:dyDescent="0.2">
      <c r="A128" s="6"/>
      <c r="B128" s="6"/>
      <c r="C128" s="6"/>
      <c r="D128" s="6"/>
      <c r="E128" s="6"/>
      <c r="F128" s="6"/>
      <c r="G128" s="6"/>
      <c r="H128" s="6"/>
      <c r="I128" s="6"/>
      <c r="J128" s="6"/>
      <c r="K128" s="6"/>
      <c r="L128" s="6"/>
      <c r="M128" s="6"/>
      <c r="N128" s="6"/>
    </row>
    <row r="129" spans="1:14" x14ac:dyDescent="0.2">
      <c r="A129" s="6"/>
      <c r="B129" s="6"/>
      <c r="C129" s="6"/>
      <c r="D129" s="6"/>
      <c r="E129" s="6"/>
      <c r="F129" s="6"/>
      <c r="G129" s="6"/>
      <c r="H129" s="6"/>
      <c r="I129" s="6"/>
      <c r="J129" s="6"/>
      <c r="K129" s="6"/>
      <c r="L129" s="6"/>
      <c r="M129" s="6"/>
      <c r="N129" s="6"/>
    </row>
    <row r="130" spans="1:14" x14ac:dyDescent="0.2">
      <c r="A130" s="6"/>
      <c r="B130" s="6"/>
      <c r="C130" s="6"/>
      <c r="D130" s="6"/>
      <c r="E130" s="6"/>
      <c r="F130" s="6"/>
      <c r="G130" s="6"/>
      <c r="H130" s="6"/>
      <c r="I130" s="6"/>
      <c r="J130" s="6"/>
      <c r="K130" s="6"/>
      <c r="L130" s="6"/>
      <c r="M130" s="6"/>
      <c r="N130" s="6"/>
    </row>
    <row r="131" spans="1:14" x14ac:dyDescent="0.2">
      <c r="A131" s="6"/>
      <c r="B131" s="6"/>
      <c r="C131" s="6"/>
      <c r="D131" s="6"/>
      <c r="E131" s="6"/>
      <c r="F131" s="6"/>
      <c r="G131" s="6"/>
      <c r="H131" s="6"/>
      <c r="I131" s="6"/>
      <c r="J131" s="6"/>
      <c r="K131" s="6"/>
      <c r="L131" s="6"/>
      <c r="M131" s="6"/>
      <c r="N131" s="6"/>
    </row>
    <row r="132" spans="1:14" x14ac:dyDescent="0.2">
      <c r="A132" s="6"/>
      <c r="B132" s="6"/>
      <c r="C132" s="6"/>
      <c r="D132" s="6"/>
      <c r="E132" s="6"/>
      <c r="F132" s="6"/>
      <c r="G132" s="6"/>
      <c r="H132" s="6"/>
      <c r="I132" s="6"/>
      <c r="J132" s="6"/>
      <c r="K132" s="6"/>
      <c r="L132" s="6"/>
      <c r="M132" s="6"/>
      <c r="N132" s="6"/>
    </row>
    <row r="133" spans="1:14" x14ac:dyDescent="0.2">
      <c r="A133" s="6"/>
      <c r="B133" s="6"/>
      <c r="C133" s="6"/>
      <c r="D133" s="6"/>
      <c r="E133" s="6"/>
      <c r="F133" s="6"/>
      <c r="G133" s="6"/>
      <c r="H133" s="6"/>
      <c r="I133" s="6"/>
      <c r="J133" s="6"/>
      <c r="K133" s="6"/>
      <c r="L133" s="6"/>
      <c r="M133" s="6"/>
      <c r="N133" s="6"/>
    </row>
    <row r="134" spans="1:14" x14ac:dyDescent="0.2">
      <c r="A134" s="6"/>
      <c r="B134" s="6"/>
      <c r="C134" s="6"/>
      <c r="D134" s="6"/>
      <c r="E134" s="6"/>
      <c r="F134" s="6"/>
      <c r="G134" s="6"/>
      <c r="H134" s="6"/>
      <c r="I134" s="6"/>
      <c r="J134" s="6"/>
      <c r="K134" s="6"/>
      <c r="L134" s="6"/>
      <c r="M134" s="6"/>
      <c r="N134" s="6"/>
    </row>
    <row r="135" spans="1:14" x14ac:dyDescent="0.2">
      <c r="A135" s="6"/>
      <c r="B135" s="6"/>
      <c r="C135" s="6"/>
      <c r="D135" s="6"/>
      <c r="E135" s="6"/>
      <c r="F135" s="6"/>
      <c r="G135" s="6"/>
      <c r="H135" s="6"/>
      <c r="I135" s="6"/>
      <c r="J135" s="6"/>
      <c r="K135" s="6"/>
      <c r="L135" s="6"/>
      <c r="M135" s="6"/>
      <c r="N135" s="6"/>
    </row>
    <row r="136" spans="1:14" x14ac:dyDescent="0.2">
      <c r="A136" s="6"/>
      <c r="B136" s="6"/>
      <c r="C136" s="6"/>
      <c r="D136" s="6"/>
      <c r="E136" s="6"/>
      <c r="F136" s="6"/>
      <c r="G136" s="6"/>
      <c r="H136" s="6"/>
      <c r="I136" s="6"/>
      <c r="J136" s="6"/>
      <c r="K136" s="6"/>
      <c r="L136" s="6"/>
      <c r="M136" s="6"/>
      <c r="N136" s="6"/>
    </row>
    <row r="137" spans="1:14" x14ac:dyDescent="0.2">
      <c r="A137" s="6"/>
      <c r="B137" s="6"/>
      <c r="C137" s="6"/>
      <c r="D137" s="6"/>
      <c r="E137" s="6"/>
      <c r="F137" s="6"/>
      <c r="G137" s="6"/>
      <c r="H137" s="6"/>
      <c r="I137" s="6"/>
      <c r="J137" s="6"/>
      <c r="K137" s="6"/>
      <c r="L137" s="6"/>
      <c r="M137" s="6"/>
      <c r="N137" s="6"/>
    </row>
    <row r="138" spans="1:14" x14ac:dyDescent="0.2">
      <c r="A138" s="6"/>
      <c r="B138" s="6"/>
      <c r="C138" s="6"/>
      <c r="D138" s="6"/>
      <c r="E138" s="6"/>
      <c r="F138" s="6"/>
      <c r="G138" s="6"/>
      <c r="H138" s="6"/>
      <c r="I138" s="6"/>
      <c r="J138" s="6"/>
      <c r="K138" s="6"/>
      <c r="L138" s="6"/>
      <c r="M138" s="6"/>
      <c r="N138" s="6"/>
    </row>
    <row r="139" spans="1:14" x14ac:dyDescent="0.2">
      <c r="A139" s="6"/>
      <c r="B139" s="6"/>
      <c r="C139" s="6"/>
      <c r="D139" s="6"/>
      <c r="E139" s="6"/>
      <c r="F139" s="6"/>
      <c r="G139" s="6"/>
      <c r="H139" s="6"/>
      <c r="I139" s="6"/>
      <c r="J139" s="6"/>
      <c r="K139" s="6"/>
      <c r="L139" s="6"/>
      <c r="M139" s="6"/>
      <c r="N139" s="6"/>
    </row>
    <row r="140" spans="1:14" x14ac:dyDescent="0.2">
      <c r="A140" s="6"/>
      <c r="B140" s="6"/>
      <c r="C140" s="6"/>
      <c r="D140" s="6"/>
      <c r="E140" s="6"/>
      <c r="F140" s="6"/>
      <c r="G140" s="6"/>
      <c r="H140" s="6"/>
      <c r="I140" s="6"/>
      <c r="J140" s="6"/>
      <c r="K140" s="6"/>
      <c r="L140" s="6"/>
      <c r="M140" s="6"/>
      <c r="N140" s="6"/>
    </row>
    <row r="141" spans="1:14" x14ac:dyDescent="0.2">
      <c r="A141" s="6"/>
      <c r="B141" s="6"/>
      <c r="C141" s="6"/>
      <c r="D141" s="6"/>
      <c r="E141" s="6"/>
      <c r="F141" s="6"/>
      <c r="G141" s="6"/>
      <c r="H141" s="6"/>
      <c r="I141" s="6"/>
      <c r="J141" s="6"/>
      <c r="K141" s="6"/>
      <c r="L141" s="6"/>
      <c r="M141" s="6"/>
      <c r="N141" s="6"/>
    </row>
    <row r="142" spans="1:14" x14ac:dyDescent="0.2">
      <c r="A142" s="6"/>
      <c r="B142" s="6"/>
      <c r="C142" s="6"/>
      <c r="D142" s="6"/>
      <c r="E142" s="6"/>
      <c r="F142" s="6"/>
      <c r="G142" s="6"/>
      <c r="H142" s="6"/>
      <c r="I142" s="6"/>
      <c r="J142" s="6"/>
      <c r="K142" s="6"/>
      <c r="L142" s="6"/>
      <c r="M142" s="6"/>
      <c r="N142" s="6"/>
    </row>
    <row r="143" spans="1:14" x14ac:dyDescent="0.2">
      <c r="A143" s="6"/>
      <c r="B143" s="6"/>
      <c r="C143" s="6"/>
      <c r="D143" s="6"/>
      <c r="E143" s="6"/>
      <c r="F143" s="6"/>
      <c r="G143" s="6"/>
      <c r="H143" s="6"/>
      <c r="I143" s="6"/>
      <c r="J143" s="6"/>
      <c r="K143" s="6"/>
      <c r="L143" s="6"/>
      <c r="M143" s="6"/>
      <c r="N143" s="6"/>
    </row>
    <row r="144" spans="1:14" x14ac:dyDescent="0.2">
      <c r="A144" s="6"/>
      <c r="B144" s="6"/>
      <c r="C144" s="6"/>
      <c r="D144" s="6"/>
      <c r="E144" s="6"/>
      <c r="F144" s="6"/>
      <c r="G144" s="6"/>
      <c r="H144" s="6"/>
      <c r="I144" s="6"/>
      <c r="J144" s="6"/>
      <c r="K144" s="6"/>
      <c r="L144" s="6"/>
      <c r="M144" s="6"/>
      <c r="N144" s="6"/>
    </row>
    <row r="145" spans="1:14" x14ac:dyDescent="0.2">
      <c r="A145" s="6"/>
      <c r="B145" s="6"/>
      <c r="C145" s="6"/>
      <c r="D145" s="6"/>
      <c r="E145" s="6"/>
      <c r="F145" s="6"/>
      <c r="G145" s="6"/>
      <c r="H145" s="6"/>
      <c r="I145" s="6"/>
      <c r="J145" s="6"/>
      <c r="K145" s="6"/>
      <c r="L145" s="6"/>
      <c r="M145" s="6"/>
      <c r="N145" s="6"/>
    </row>
    <row r="146" spans="1:14" x14ac:dyDescent="0.2">
      <c r="A146" s="6"/>
      <c r="B146" s="6"/>
      <c r="C146" s="6"/>
      <c r="D146" s="6"/>
      <c r="E146" s="6"/>
      <c r="F146" s="6"/>
      <c r="G146" s="6"/>
      <c r="H146" s="6"/>
      <c r="I146" s="6"/>
      <c r="J146" s="6"/>
      <c r="K146" s="6"/>
      <c r="L146" s="6"/>
      <c r="M146" s="6"/>
      <c r="N146" s="6"/>
    </row>
    <row r="147" spans="1:14" x14ac:dyDescent="0.2">
      <c r="A147" s="6"/>
      <c r="B147" s="6"/>
      <c r="C147" s="6"/>
      <c r="D147" s="6"/>
      <c r="E147" s="6"/>
      <c r="F147" s="6"/>
      <c r="G147" s="6"/>
      <c r="H147" s="6"/>
      <c r="I147" s="6"/>
      <c r="J147" s="6"/>
      <c r="K147" s="6"/>
      <c r="L147" s="6"/>
      <c r="M147" s="6"/>
      <c r="N147" s="6"/>
    </row>
    <row r="148" spans="1:14" x14ac:dyDescent="0.2">
      <c r="A148" s="6"/>
      <c r="B148" s="6"/>
      <c r="C148" s="6"/>
      <c r="D148" s="6"/>
      <c r="E148" s="6"/>
      <c r="F148" s="6"/>
      <c r="G148" s="6"/>
      <c r="H148" s="6"/>
      <c r="I148" s="6"/>
      <c r="J148" s="6"/>
      <c r="K148" s="6"/>
      <c r="L148" s="6"/>
      <c r="M148" s="6"/>
      <c r="N148" s="6"/>
    </row>
    <row r="149" spans="1:14" x14ac:dyDescent="0.2">
      <c r="A149" s="6"/>
      <c r="B149" s="6"/>
      <c r="C149" s="6"/>
      <c r="D149" s="6"/>
      <c r="E149" s="6"/>
      <c r="F149" s="6"/>
      <c r="G149" s="6"/>
      <c r="H149" s="6"/>
      <c r="I149" s="6"/>
      <c r="J149" s="6"/>
      <c r="K149" s="6"/>
      <c r="L149" s="6"/>
      <c r="M149" s="6"/>
      <c r="N149" s="6"/>
    </row>
    <row r="150" spans="1:14" x14ac:dyDescent="0.2">
      <c r="A150" s="6"/>
      <c r="B150" s="6"/>
      <c r="C150" s="6"/>
      <c r="D150" s="6"/>
      <c r="E150" s="6"/>
      <c r="F150" s="6"/>
      <c r="G150" s="6"/>
      <c r="H150" s="6"/>
      <c r="I150" s="6"/>
      <c r="J150" s="6"/>
      <c r="K150" s="6"/>
      <c r="L150" s="6"/>
      <c r="M150" s="6"/>
      <c r="N150" s="6"/>
    </row>
  </sheetData>
  <sheetProtection password="C8B3" sheet="1" objects="1" scenarios="1" selectLockedCells="1" selectUnlockedCells="1"/>
  <phoneticPr fontId="5" type="noConversion"/>
  <pageMargins left="0.5" right="0.5" top="0.75" bottom="0.5" header="0.5" footer="0.5"/>
  <pageSetup scale="90"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91"/>
  <sheetViews>
    <sheetView showGridLines="0" showRowColHeaders="0" tabSelected="1" workbookViewId="0">
      <selection activeCell="N17" sqref="N17"/>
    </sheetView>
  </sheetViews>
  <sheetFormatPr defaultRowHeight="12.75" x14ac:dyDescent="0.2"/>
  <cols>
    <col min="1" max="1" width="10" style="29" customWidth="1"/>
    <col min="2" max="2" width="9.7109375" style="29" customWidth="1"/>
    <col min="3" max="3" width="10.7109375" style="29" customWidth="1"/>
    <col min="4" max="4" width="12.42578125" style="29" customWidth="1"/>
    <col min="5" max="5" width="4" style="29" customWidth="1"/>
    <col min="6" max="6" width="12.140625" style="29" customWidth="1"/>
    <col min="7" max="7" width="3.42578125" style="29" customWidth="1"/>
    <col min="8" max="8" width="16" style="29" customWidth="1"/>
    <col min="9" max="9" width="5.140625" style="29" customWidth="1"/>
    <col min="10" max="10" width="3.7109375" style="29" customWidth="1"/>
    <col min="11" max="11" width="9.140625" style="29"/>
    <col min="12" max="12" width="5.5703125" style="29" customWidth="1"/>
    <col min="13" max="13" width="3.28515625" style="29" customWidth="1"/>
    <col min="14" max="14" width="10.140625" style="29" customWidth="1"/>
    <col min="15" max="15" width="9.85546875" style="29" customWidth="1"/>
    <col min="16" max="16" width="9.140625" style="29"/>
    <col min="17" max="17" width="9.140625" style="29" hidden="1" customWidth="1"/>
    <col min="18" max="16384" width="9.140625" style="29"/>
  </cols>
  <sheetData>
    <row r="1" spans="1:17" ht="18" x14ac:dyDescent="0.2">
      <c r="A1" s="77" t="s">
        <v>127</v>
      </c>
      <c r="B1" s="69"/>
      <c r="C1" s="69"/>
      <c r="D1" s="69"/>
      <c r="E1" s="69"/>
      <c r="F1" s="69"/>
      <c r="G1" s="69"/>
      <c r="H1" s="69"/>
      <c r="I1" s="69"/>
      <c r="J1" s="69"/>
      <c r="K1" s="69"/>
      <c r="L1" s="69"/>
      <c r="M1" s="69"/>
      <c r="N1" s="69"/>
      <c r="O1" s="78"/>
      <c r="P1" s="28"/>
      <c r="Q1" s="28"/>
    </row>
    <row r="2" spans="1:17" ht="12" customHeight="1" x14ac:dyDescent="0.2">
      <c r="A2" s="63"/>
      <c r="B2" s="64"/>
      <c r="C2" s="64"/>
      <c r="D2" s="64"/>
      <c r="E2" s="64"/>
      <c r="F2" s="64"/>
      <c r="G2" s="64"/>
      <c r="H2" s="64"/>
      <c r="I2" s="64"/>
      <c r="J2" s="64"/>
      <c r="K2" s="64"/>
      <c r="L2" s="64"/>
      <c r="M2" s="64"/>
      <c r="N2" s="64"/>
      <c r="O2" s="67"/>
    </row>
    <row r="3" spans="1:17" ht="12" customHeight="1" x14ac:dyDescent="0.2">
      <c r="A3" s="63" t="s">
        <v>0</v>
      </c>
      <c r="B3" s="64"/>
      <c r="C3" s="73"/>
      <c r="D3" s="73"/>
      <c r="E3" s="74"/>
      <c r="F3" s="64"/>
      <c r="G3" s="64"/>
      <c r="H3" s="33" t="s">
        <v>1</v>
      </c>
      <c r="I3" s="73"/>
      <c r="J3" s="73"/>
      <c r="K3" s="73"/>
      <c r="L3" s="74"/>
      <c r="M3" s="74"/>
      <c r="N3" s="64"/>
      <c r="O3" s="67"/>
    </row>
    <row r="4" spans="1:17" ht="8.1" customHeight="1" x14ac:dyDescent="0.2">
      <c r="A4" s="30"/>
      <c r="B4" s="31"/>
      <c r="C4" s="27"/>
      <c r="D4" s="27"/>
      <c r="E4" s="27"/>
      <c r="F4" s="31"/>
      <c r="G4" s="31"/>
      <c r="H4" s="31"/>
      <c r="I4" s="69"/>
      <c r="J4" s="69"/>
      <c r="K4" s="69"/>
      <c r="L4" s="69"/>
      <c r="M4" s="69"/>
      <c r="N4" s="31"/>
      <c r="O4" s="32"/>
      <c r="Q4" s="1">
        <v>1</v>
      </c>
    </row>
    <row r="5" spans="1:17" ht="12" customHeight="1" x14ac:dyDescent="0.2">
      <c r="A5" s="63" t="s">
        <v>2</v>
      </c>
      <c r="B5" s="64"/>
      <c r="C5" s="75"/>
      <c r="D5" s="75"/>
      <c r="E5" s="76"/>
      <c r="F5" s="64"/>
      <c r="G5" s="64"/>
      <c r="H5" s="33" t="s">
        <v>3</v>
      </c>
      <c r="I5" s="73"/>
      <c r="J5" s="73"/>
      <c r="K5" s="73"/>
      <c r="L5" s="74"/>
      <c r="M5" s="74"/>
      <c r="N5" s="64"/>
      <c r="O5" s="67"/>
    </row>
    <row r="6" spans="1:17" ht="8.1" customHeight="1" x14ac:dyDescent="0.2">
      <c r="A6" s="30"/>
      <c r="B6" s="31"/>
      <c r="C6" s="31"/>
      <c r="D6" s="31"/>
      <c r="E6" s="31"/>
      <c r="F6" s="31"/>
      <c r="G6" s="31"/>
      <c r="H6" s="31"/>
      <c r="I6" s="69"/>
      <c r="J6" s="69"/>
      <c r="K6" s="69"/>
      <c r="L6" s="69"/>
      <c r="M6" s="69"/>
      <c r="N6" s="31"/>
      <c r="O6" s="32"/>
    </row>
    <row r="7" spans="1:17" ht="12" customHeight="1" x14ac:dyDescent="0.2">
      <c r="A7" s="63" t="s">
        <v>4</v>
      </c>
      <c r="B7" s="64"/>
      <c r="C7" s="73"/>
      <c r="D7" s="73"/>
      <c r="E7" s="74"/>
      <c r="F7" s="64"/>
      <c r="G7" s="64"/>
      <c r="H7" s="33" t="s">
        <v>5</v>
      </c>
      <c r="I7" s="73"/>
      <c r="J7" s="73"/>
      <c r="K7" s="73"/>
      <c r="L7" s="74"/>
      <c r="M7" s="74"/>
      <c r="N7" s="64"/>
      <c r="O7" s="67"/>
    </row>
    <row r="8" spans="1:17" ht="8.1" customHeight="1" x14ac:dyDescent="0.2">
      <c r="A8" s="30"/>
      <c r="B8" s="31"/>
      <c r="C8" s="69"/>
      <c r="D8" s="69"/>
      <c r="E8" s="31"/>
      <c r="F8" s="31"/>
      <c r="G8" s="31"/>
      <c r="H8" s="31"/>
      <c r="I8" s="69"/>
      <c r="J8" s="69"/>
      <c r="K8" s="69"/>
      <c r="L8" s="69"/>
      <c r="M8" s="69"/>
      <c r="N8" s="31"/>
      <c r="O8" s="32"/>
    </row>
    <row r="9" spans="1:17" ht="12" customHeight="1" x14ac:dyDescent="0.2">
      <c r="A9" s="30"/>
      <c r="B9" s="31" t="s">
        <v>6</v>
      </c>
      <c r="C9" s="34">
        <f ca="1">TODAY()</f>
        <v>41740</v>
      </c>
      <c r="D9" s="31"/>
      <c r="E9" s="64"/>
      <c r="F9" s="64"/>
      <c r="G9" s="64"/>
      <c r="H9" s="33" t="s">
        <v>7</v>
      </c>
      <c r="I9" s="5"/>
      <c r="J9" s="31" t="s">
        <v>8</v>
      </c>
      <c r="K9" s="35"/>
      <c r="L9" s="64"/>
      <c r="M9" s="64"/>
      <c r="N9" s="64"/>
      <c r="O9" s="67"/>
    </row>
    <row r="10" spans="1:17" ht="8.1" customHeight="1" x14ac:dyDescent="0.2">
      <c r="A10" s="30"/>
      <c r="B10" s="31"/>
      <c r="C10" s="31"/>
      <c r="D10" s="31"/>
      <c r="E10" s="31"/>
      <c r="F10" s="31"/>
      <c r="G10" s="31"/>
      <c r="H10" s="31"/>
      <c r="I10" s="31"/>
      <c r="J10" s="31"/>
      <c r="K10" s="31"/>
      <c r="L10" s="31"/>
      <c r="M10" s="31"/>
      <c r="N10" s="31"/>
      <c r="O10" s="32"/>
    </row>
    <row r="11" spans="1:17" ht="12" customHeight="1" x14ac:dyDescent="0.2">
      <c r="A11" s="59" t="s">
        <v>71</v>
      </c>
      <c r="B11" s="60"/>
      <c r="C11" s="7"/>
      <c r="D11" s="60" t="s">
        <v>9</v>
      </c>
      <c r="E11" s="60"/>
      <c r="F11" s="7"/>
      <c r="G11" s="37"/>
      <c r="H11" s="33" t="s">
        <v>10</v>
      </c>
      <c r="I11" s="8"/>
      <c r="J11" s="33" t="s">
        <v>11</v>
      </c>
      <c r="K11" s="8"/>
      <c r="L11" s="31" t="s">
        <v>8</v>
      </c>
      <c r="M11" s="70" t="str">
        <f>IF(K11+K12=I9," ","Total Days Must = Storage Period!")</f>
        <v xml:space="preserve"> </v>
      </c>
      <c r="N11" s="71"/>
      <c r="O11" s="72"/>
    </row>
    <row r="12" spans="1:17" ht="12" customHeight="1" x14ac:dyDescent="0.2">
      <c r="A12" s="59"/>
      <c r="B12" s="64"/>
      <c r="C12" s="64"/>
      <c r="D12" s="64"/>
      <c r="E12" s="64"/>
      <c r="F12" s="64"/>
      <c r="G12" s="64"/>
      <c r="H12" s="64"/>
      <c r="I12" s="9"/>
      <c r="J12" s="33" t="s">
        <v>11</v>
      </c>
      <c r="K12" s="9"/>
      <c r="L12" s="31" t="s">
        <v>8</v>
      </c>
      <c r="M12" s="71"/>
      <c r="N12" s="71"/>
      <c r="O12" s="72"/>
    </row>
    <row r="13" spans="1:17" ht="5.0999999999999996" customHeight="1" x14ac:dyDescent="0.2">
      <c r="A13" s="36"/>
      <c r="B13" s="31"/>
      <c r="C13" s="31"/>
      <c r="D13" s="31"/>
      <c r="E13" s="31"/>
      <c r="F13" s="31"/>
      <c r="G13" s="31"/>
      <c r="H13" s="31"/>
      <c r="I13" s="31"/>
      <c r="J13" s="31"/>
      <c r="K13" s="31"/>
      <c r="L13" s="31"/>
      <c r="M13" s="31"/>
      <c r="N13" s="31"/>
      <c r="O13" s="32"/>
    </row>
    <row r="14" spans="1:17" ht="12" customHeight="1" x14ac:dyDescent="0.2">
      <c r="A14" s="59" t="s">
        <v>12</v>
      </c>
      <c r="B14" s="60"/>
      <c r="C14" s="7"/>
      <c r="D14" s="60" t="s">
        <v>9</v>
      </c>
      <c r="E14" s="60"/>
      <c r="F14" s="7"/>
      <c r="G14" s="37"/>
      <c r="H14" s="33" t="s">
        <v>10</v>
      </c>
      <c r="I14" s="8"/>
      <c r="J14" s="33" t="s">
        <v>11</v>
      </c>
      <c r="K14" s="8"/>
      <c r="L14" s="31" t="s">
        <v>8</v>
      </c>
      <c r="M14" s="31"/>
      <c r="N14" s="31"/>
      <c r="O14" s="32"/>
    </row>
    <row r="15" spans="1:17" ht="12" customHeight="1" x14ac:dyDescent="0.2">
      <c r="A15" s="59"/>
      <c r="B15" s="64"/>
      <c r="C15" s="64"/>
      <c r="D15" s="64"/>
      <c r="E15" s="64"/>
      <c r="F15" s="64"/>
      <c r="G15" s="64"/>
      <c r="H15" s="64"/>
      <c r="I15" s="9"/>
      <c r="J15" s="33" t="s">
        <v>11</v>
      </c>
      <c r="K15" s="9"/>
      <c r="L15" s="31" t="s">
        <v>8</v>
      </c>
      <c r="M15" s="64"/>
      <c r="N15" s="64"/>
      <c r="O15" s="67"/>
    </row>
    <row r="16" spans="1:17" ht="5.0999999999999996" customHeight="1" x14ac:dyDescent="0.2">
      <c r="A16" s="36"/>
      <c r="B16" s="31"/>
      <c r="C16" s="31"/>
      <c r="D16" s="31"/>
      <c r="E16" s="31"/>
      <c r="F16" s="31"/>
      <c r="G16" s="31"/>
      <c r="H16" s="31"/>
      <c r="I16" s="31"/>
      <c r="J16" s="31"/>
      <c r="K16" s="31"/>
      <c r="L16" s="31"/>
      <c r="M16" s="31"/>
      <c r="N16" s="31"/>
      <c r="O16" s="32"/>
    </row>
    <row r="17" spans="1:15" ht="12" customHeight="1" x14ac:dyDescent="0.2">
      <c r="A17" s="59" t="s">
        <v>13</v>
      </c>
      <c r="B17" s="60"/>
      <c r="C17" s="7"/>
      <c r="D17" s="60" t="s">
        <v>9</v>
      </c>
      <c r="E17" s="60"/>
      <c r="F17" s="7"/>
      <c r="G17" s="37"/>
      <c r="H17" s="33" t="s">
        <v>10</v>
      </c>
      <c r="I17" s="8"/>
      <c r="J17" s="33" t="s">
        <v>11</v>
      </c>
      <c r="K17" s="8"/>
      <c r="L17" s="31" t="s">
        <v>8</v>
      </c>
      <c r="M17" s="31"/>
      <c r="N17" s="31"/>
      <c r="O17" s="32"/>
    </row>
    <row r="18" spans="1:15" ht="12" customHeight="1" x14ac:dyDescent="0.2">
      <c r="A18" s="59"/>
      <c r="B18" s="64"/>
      <c r="C18" s="64"/>
      <c r="D18" s="64"/>
      <c r="E18" s="64"/>
      <c r="F18" s="64"/>
      <c r="G18" s="64"/>
      <c r="H18" s="64"/>
      <c r="I18" s="9"/>
      <c r="J18" s="33" t="s">
        <v>11</v>
      </c>
      <c r="K18" s="9"/>
      <c r="L18" s="31" t="s">
        <v>8</v>
      </c>
      <c r="M18" s="64"/>
      <c r="N18" s="64"/>
      <c r="O18" s="67"/>
    </row>
    <row r="19" spans="1:15" ht="5.0999999999999996" customHeight="1" x14ac:dyDescent="0.2">
      <c r="A19" s="36"/>
      <c r="B19" s="31"/>
      <c r="C19" s="31"/>
      <c r="D19" s="31"/>
      <c r="E19" s="31"/>
      <c r="F19" s="31"/>
      <c r="G19" s="31"/>
      <c r="H19" s="31"/>
      <c r="I19" s="31"/>
      <c r="J19" s="31"/>
      <c r="K19" s="31"/>
      <c r="L19" s="31"/>
      <c r="M19" s="31"/>
      <c r="N19" s="31"/>
      <c r="O19" s="32"/>
    </row>
    <row r="20" spans="1:15" ht="12" customHeight="1" x14ac:dyDescent="0.2">
      <c r="A20" s="59" t="s">
        <v>14</v>
      </c>
      <c r="B20" s="60"/>
      <c r="C20" s="7"/>
      <c r="D20" s="60" t="s">
        <v>9</v>
      </c>
      <c r="E20" s="60"/>
      <c r="F20" s="7"/>
      <c r="G20" s="37"/>
      <c r="H20" s="33" t="s">
        <v>10</v>
      </c>
      <c r="I20" s="8"/>
      <c r="J20" s="33" t="s">
        <v>11</v>
      </c>
      <c r="K20" s="8"/>
      <c r="L20" s="31" t="s">
        <v>8</v>
      </c>
      <c r="M20" s="64"/>
      <c r="N20" s="64"/>
      <c r="O20" s="67"/>
    </row>
    <row r="21" spans="1:15" ht="8.1" customHeight="1" x14ac:dyDescent="0.2">
      <c r="A21" s="36"/>
      <c r="B21" s="31"/>
      <c r="C21" s="31"/>
      <c r="D21" s="31"/>
      <c r="E21" s="31"/>
      <c r="F21" s="31"/>
      <c r="G21" s="31"/>
      <c r="H21" s="31"/>
      <c r="I21" s="31"/>
      <c r="J21" s="31"/>
      <c r="K21" s="31"/>
      <c r="L21" s="31"/>
      <c r="M21" s="31"/>
      <c r="N21" s="31"/>
      <c r="O21" s="32"/>
    </row>
    <row r="22" spans="1:15" ht="12" customHeight="1" x14ac:dyDescent="0.2">
      <c r="A22" s="59" t="s">
        <v>116</v>
      </c>
      <c r="B22" s="68"/>
      <c r="C22" s="68"/>
      <c r="D22" s="68"/>
      <c r="E22" s="68"/>
      <c r="F22" s="68"/>
      <c r="G22" s="68"/>
      <c r="H22" s="68"/>
      <c r="I22" s="68"/>
      <c r="J22" s="68"/>
      <c r="K22" s="68"/>
      <c r="L22" s="68"/>
      <c r="M22" s="38" t="s">
        <v>21</v>
      </c>
      <c r="N22" s="10"/>
      <c r="O22" s="32" t="s">
        <v>15</v>
      </c>
    </row>
    <row r="23" spans="1:15" ht="12" customHeight="1" x14ac:dyDescent="0.2">
      <c r="A23" s="39"/>
      <c r="B23" s="40"/>
      <c r="C23" s="40"/>
      <c r="D23" s="60" t="s">
        <v>128</v>
      </c>
      <c r="E23" s="60"/>
      <c r="F23" s="60"/>
      <c r="G23" s="60"/>
      <c r="H23" s="60"/>
      <c r="I23" s="60"/>
      <c r="J23" s="60"/>
      <c r="K23" s="60"/>
      <c r="L23" s="60"/>
      <c r="M23" s="40"/>
      <c r="N23" s="40"/>
      <c r="O23" s="41"/>
    </row>
    <row r="24" spans="1:15" ht="5.0999999999999996" customHeight="1" x14ac:dyDescent="0.2">
      <c r="A24" s="39"/>
      <c r="B24" s="42"/>
      <c r="C24" s="42"/>
      <c r="D24" s="42"/>
      <c r="E24" s="42"/>
      <c r="F24" s="42"/>
      <c r="G24" s="42"/>
      <c r="H24" s="42"/>
      <c r="I24" s="42"/>
      <c r="J24" s="42"/>
      <c r="K24" s="42"/>
      <c r="L24" s="42"/>
      <c r="M24" s="42"/>
      <c r="N24" s="42"/>
      <c r="O24" s="41"/>
    </row>
    <row r="25" spans="1:15" ht="12" customHeight="1" x14ac:dyDescent="0.2">
      <c r="A25" s="39"/>
      <c r="B25" s="42"/>
      <c r="C25" s="42"/>
      <c r="D25" s="42"/>
      <c r="E25" s="42"/>
      <c r="F25" s="42"/>
      <c r="G25" s="42"/>
      <c r="H25" s="42"/>
      <c r="I25" s="42"/>
      <c r="J25" s="42"/>
      <c r="K25" s="42"/>
      <c r="L25" s="43" t="s">
        <v>115</v>
      </c>
      <c r="M25" s="42" t="s">
        <v>21</v>
      </c>
      <c r="N25" s="10"/>
      <c r="O25" s="44" t="s">
        <v>15</v>
      </c>
    </row>
    <row r="26" spans="1:15" ht="12" customHeight="1" x14ac:dyDescent="0.2">
      <c r="A26" s="39"/>
      <c r="B26" s="42"/>
      <c r="C26" s="42"/>
      <c r="D26" s="42"/>
      <c r="E26" s="42"/>
      <c r="F26" s="42"/>
      <c r="G26" s="42"/>
      <c r="H26" s="42"/>
      <c r="I26" s="42"/>
      <c r="J26" s="42"/>
      <c r="K26" s="42"/>
      <c r="L26" s="43" t="s">
        <v>128</v>
      </c>
      <c r="M26" s="42"/>
      <c r="N26" s="45"/>
      <c r="O26" s="41"/>
    </row>
    <row r="27" spans="1:15" ht="5.0999999999999996" customHeight="1" x14ac:dyDescent="0.2">
      <c r="A27" s="39"/>
      <c r="B27" s="42"/>
      <c r="C27" s="42"/>
      <c r="D27" s="42"/>
      <c r="E27" s="42"/>
      <c r="F27" s="42"/>
      <c r="G27" s="42"/>
      <c r="H27" s="42"/>
      <c r="I27" s="42"/>
      <c r="J27" s="42"/>
      <c r="K27" s="42"/>
      <c r="L27" s="42"/>
      <c r="M27" s="42"/>
      <c r="N27" s="42"/>
      <c r="O27" s="41"/>
    </row>
    <row r="28" spans="1:15" ht="12" customHeight="1" x14ac:dyDescent="0.2">
      <c r="A28" s="59" t="s">
        <v>118</v>
      </c>
      <c r="B28" s="60"/>
      <c r="C28" s="60"/>
      <c r="D28" s="60"/>
      <c r="E28" s="60"/>
      <c r="F28" s="60"/>
      <c r="G28" s="60"/>
      <c r="H28" s="60"/>
      <c r="I28" s="60"/>
      <c r="J28" s="60"/>
      <c r="K28" s="60"/>
      <c r="L28" s="60"/>
      <c r="M28" s="46" t="s">
        <v>21</v>
      </c>
      <c r="N28" s="11"/>
      <c r="O28" s="32" t="s">
        <v>77</v>
      </c>
    </row>
    <row r="29" spans="1:15" ht="5.0999999999999996" customHeight="1" x14ac:dyDescent="0.2">
      <c r="A29" s="36"/>
      <c r="B29" s="33"/>
      <c r="C29" s="33"/>
      <c r="D29" s="33"/>
      <c r="E29" s="33"/>
      <c r="F29" s="33"/>
      <c r="G29" s="33"/>
      <c r="H29" s="33"/>
      <c r="I29" s="33"/>
      <c r="J29" s="33"/>
      <c r="K29" s="33"/>
      <c r="L29" s="33"/>
      <c r="M29" s="46"/>
      <c r="N29" s="47"/>
      <c r="O29" s="32"/>
    </row>
    <row r="30" spans="1:15" ht="12" customHeight="1" x14ac:dyDescent="0.2">
      <c r="A30" s="36"/>
      <c r="B30" s="33"/>
      <c r="C30" s="33"/>
      <c r="D30" s="33"/>
      <c r="E30" s="33"/>
      <c r="F30" s="33"/>
      <c r="G30" s="33"/>
      <c r="H30" s="33"/>
      <c r="I30" s="33"/>
      <c r="J30" s="33"/>
      <c r="K30" s="33"/>
      <c r="L30" s="33" t="s">
        <v>117</v>
      </c>
      <c r="M30" s="46" t="s">
        <v>21</v>
      </c>
      <c r="N30" s="11"/>
      <c r="O30" s="32" t="s">
        <v>16</v>
      </c>
    </row>
    <row r="31" spans="1:15" ht="5.0999999999999996" customHeight="1" x14ac:dyDescent="0.2">
      <c r="A31" s="36"/>
      <c r="B31" s="33"/>
      <c r="C31" s="33"/>
      <c r="D31" s="33"/>
      <c r="E31" s="33"/>
      <c r="F31" s="33"/>
      <c r="G31" s="33"/>
      <c r="H31" s="33"/>
      <c r="I31" s="33"/>
      <c r="J31" s="33"/>
      <c r="K31" s="33"/>
      <c r="L31" s="33"/>
      <c r="M31" s="46"/>
      <c r="N31" s="47"/>
      <c r="O31" s="32"/>
    </row>
    <row r="32" spans="1:15" ht="12" customHeight="1" x14ac:dyDescent="0.2">
      <c r="A32" s="36"/>
      <c r="B32" s="33"/>
      <c r="C32" s="33"/>
      <c r="D32" s="33"/>
      <c r="E32" s="33"/>
      <c r="F32" s="33"/>
      <c r="G32" s="33"/>
      <c r="H32" s="33"/>
      <c r="I32" s="33"/>
      <c r="J32" s="33"/>
      <c r="K32" s="33"/>
      <c r="L32" s="33" t="s">
        <v>119</v>
      </c>
      <c r="M32" s="46" t="s">
        <v>21</v>
      </c>
      <c r="N32" s="11"/>
      <c r="O32" s="32" t="s">
        <v>77</v>
      </c>
    </row>
    <row r="33" spans="1:15" ht="5.0999999999999996" customHeight="1" x14ac:dyDescent="0.2">
      <c r="A33" s="36"/>
      <c r="B33" s="33"/>
      <c r="C33" s="33"/>
      <c r="D33" s="33"/>
      <c r="E33" s="33"/>
      <c r="F33" s="33"/>
      <c r="G33" s="33"/>
      <c r="H33" s="33"/>
      <c r="I33" s="33"/>
      <c r="J33" s="33"/>
      <c r="K33" s="33"/>
      <c r="L33" s="33"/>
      <c r="M33" s="46"/>
      <c r="N33" s="47"/>
      <c r="O33" s="32"/>
    </row>
    <row r="34" spans="1:15" ht="12" customHeight="1" x14ac:dyDescent="0.2">
      <c r="A34" s="36"/>
      <c r="B34" s="33"/>
      <c r="C34" s="33"/>
      <c r="D34" s="33"/>
      <c r="E34" s="33"/>
      <c r="F34" s="33"/>
      <c r="G34" s="33"/>
      <c r="H34" s="33"/>
      <c r="I34" s="33"/>
      <c r="J34" s="33"/>
      <c r="K34" s="33"/>
      <c r="L34" s="33" t="s">
        <v>120</v>
      </c>
      <c r="M34" s="46" t="s">
        <v>21</v>
      </c>
      <c r="N34" s="11"/>
      <c r="O34" s="32" t="s">
        <v>16</v>
      </c>
    </row>
    <row r="35" spans="1:15" ht="5.0999999999999996" customHeight="1" x14ac:dyDescent="0.2">
      <c r="A35" s="36"/>
      <c r="B35" s="33"/>
      <c r="C35" s="33"/>
      <c r="D35" s="33"/>
      <c r="E35" s="33"/>
      <c r="F35" s="33"/>
      <c r="G35" s="33"/>
      <c r="H35" s="33"/>
      <c r="I35" s="33"/>
      <c r="J35" s="33"/>
      <c r="K35" s="33"/>
      <c r="L35" s="33"/>
      <c r="M35" s="46"/>
      <c r="N35" s="47"/>
      <c r="O35" s="32"/>
    </row>
    <row r="36" spans="1:15" ht="12" customHeight="1" x14ac:dyDescent="0.2">
      <c r="A36" s="30"/>
      <c r="B36" s="31"/>
      <c r="C36" s="31"/>
      <c r="D36" s="31"/>
      <c r="E36" s="31"/>
      <c r="F36" s="31"/>
      <c r="G36" s="31"/>
      <c r="H36" s="31"/>
      <c r="J36" s="33"/>
      <c r="K36" s="33"/>
      <c r="L36" s="33" t="s">
        <v>96</v>
      </c>
      <c r="M36" s="46" t="s">
        <v>21</v>
      </c>
      <c r="N36" s="11"/>
      <c r="O36" s="32" t="s">
        <v>16</v>
      </c>
    </row>
    <row r="37" spans="1:15" ht="12" customHeight="1" x14ac:dyDescent="0.2">
      <c r="A37" s="61" t="s">
        <v>17</v>
      </c>
      <c r="B37" s="64"/>
      <c r="C37" s="64"/>
      <c r="D37" s="31"/>
      <c r="E37" s="31"/>
      <c r="F37" s="31"/>
      <c r="G37" s="31"/>
      <c r="H37" s="31"/>
      <c r="I37" s="31"/>
      <c r="J37" s="31"/>
      <c r="K37" s="31"/>
      <c r="L37" s="31"/>
      <c r="M37" s="31"/>
      <c r="N37" s="31"/>
      <c r="O37" s="32"/>
    </row>
    <row r="38" spans="1:15" ht="12" customHeight="1" x14ac:dyDescent="0.2">
      <c r="A38" s="12">
        <f>C11</f>
        <v>0</v>
      </c>
      <c r="B38" s="33" t="s">
        <v>75</v>
      </c>
      <c r="C38" s="13">
        <f>F11/1000</f>
        <v>0</v>
      </c>
      <c r="D38" s="31" t="s">
        <v>18</v>
      </c>
      <c r="E38" s="40" t="s">
        <v>19</v>
      </c>
      <c r="F38" s="37" t="s">
        <v>20</v>
      </c>
      <c r="G38" s="37" t="s">
        <v>19</v>
      </c>
      <c r="H38" s="33" t="s">
        <v>70</v>
      </c>
      <c r="I38" s="4">
        <f>I11</f>
        <v>0</v>
      </c>
      <c r="J38" s="33" t="s">
        <v>11</v>
      </c>
      <c r="K38" s="4">
        <f>K11</f>
        <v>0</v>
      </c>
      <c r="L38" s="31" t="s">
        <v>8</v>
      </c>
      <c r="M38" s="49" t="s">
        <v>21</v>
      </c>
      <c r="N38" s="14">
        <f>A38*C38*(I38/100)*K38</f>
        <v>0</v>
      </c>
      <c r="O38" s="32" t="s">
        <v>15</v>
      </c>
    </row>
    <row r="39" spans="1:15" ht="12" customHeight="1" x14ac:dyDescent="0.2">
      <c r="A39" s="63"/>
      <c r="B39" s="64"/>
      <c r="C39" s="64"/>
      <c r="D39" s="64"/>
      <c r="E39" s="64"/>
      <c r="F39" s="64"/>
      <c r="G39" s="64"/>
      <c r="H39" s="64"/>
      <c r="I39" s="4">
        <f>I12</f>
        <v>0</v>
      </c>
      <c r="J39" s="33" t="s">
        <v>11</v>
      </c>
      <c r="K39" s="4">
        <f>K12</f>
        <v>0</v>
      </c>
      <c r="L39" s="31" t="s">
        <v>8</v>
      </c>
      <c r="M39" s="49" t="s">
        <v>21</v>
      </c>
      <c r="N39" s="14">
        <f>A38*C38*(I39/100)*K39</f>
        <v>0</v>
      </c>
      <c r="O39" s="32" t="s">
        <v>15</v>
      </c>
    </row>
    <row r="40" spans="1:15" ht="5.0999999999999996" customHeight="1" x14ac:dyDescent="0.2">
      <c r="A40" s="30"/>
      <c r="B40" s="31"/>
      <c r="C40" s="31"/>
      <c r="D40" s="31"/>
      <c r="E40" s="31"/>
      <c r="F40" s="31"/>
      <c r="G40" s="31"/>
      <c r="H40" s="31"/>
      <c r="I40" s="31"/>
      <c r="J40" s="31"/>
      <c r="K40" s="31"/>
      <c r="L40" s="31"/>
      <c r="M40" s="31"/>
      <c r="N40" s="31"/>
      <c r="O40" s="32"/>
    </row>
    <row r="41" spans="1:15" ht="12" customHeight="1" x14ac:dyDescent="0.2">
      <c r="A41" s="12">
        <f>C14</f>
        <v>0</v>
      </c>
      <c r="B41" s="33" t="s">
        <v>76</v>
      </c>
      <c r="C41" s="13">
        <f>F14/1000</f>
        <v>0</v>
      </c>
      <c r="D41" s="31" t="s">
        <v>18</v>
      </c>
      <c r="E41" s="40" t="s">
        <v>19</v>
      </c>
      <c r="F41" s="37" t="s">
        <v>20</v>
      </c>
      <c r="G41" s="37" t="s">
        <v>19</v>
      </c>
      <c r="H41" s="33" t="s">
        <v>70</v>
      </c>
      <c r="I41" s="4">
        <f>I14</f>
        <v>0</v>
      </c>
      <c r="J41" s="33" t="s">
        <v>11</v>
      </c>
      <c r="K41" s="4">
        <f>K14</f>
        <v>0</v>
      </c>
      <c r="L41" s="31" t="s">
        <v>8</v>
      </c>
      <c r="M41" s="49" t="s">
        <v>21</v>
      </c>
      <c r="N41" s="14">
        <f>A41*C41*(I41/100)*K41</f>
        <v>0</v>
      </c>
      <c r="O41" s="32" t="s">
        <v>15</v>
      </c>
    </row>
    <row r="42" spans="1:15" ht="12" customHeight="1" x14ac:dyDescent="0.2">
      <c r="A42" s="63"/>
      <c r="B42" s="64"/>
      <c r="C42" s="64"/>
      <c r="D42" s="64"/>
      <c r="E42" s="64"/>
      <c r="F42" s="64"/>
      <c r="G42" s="64"/>
      <c r="H42" s="64"/>
      <c r="I42" s="4">
        <f>I15</f>
        <v>0</v>
      </c>
      <c r="J42" s="33" t="s">
        <v>11</v>
      </c>
      <c r="K42" s="4">
        <f>K15</f>
        <v>0</v>
      </c>
      <c r="L42" s="31" t="s">
        <v>8</v>
      </c>
      <c r="M42" s="49" t="s">
        <v>21</v>
      </c>
      <c r="N42" s="14">
        <f>A41*C41*(I42/100)*K42</f>
        <v>0</v>
      </c>
      <c r="O42" s="32" t="s">
        <v>15</v>
      </c>
    </row>
    <row r="43" spans="1:15" ht="5.0999999999999996" customHeight="1" x14ac:dyDescent="0.2">
      <c r="A43" s="30"/>
      <c r="B43" s="31"/>
      <c r="C43" s="31"/>
      <c r="D43" s="31"/>
      <c r="E43" s="31"/>
      <c r="F43" s="31"/>
      <c r="G43" s="31"/>
      <c r="H43" s="31"/>
      <c r="I43" s="31"/>
      <c r="J43" s="31"/>
      <c r="K43" s="31"/>
      <c r="L43" s="31"/>
      <c r="M43" s="31"/>
      <c r="N43" s="31"/>
      <c r="O43" s="32"/>
    </row>
    <row r="44" spans="1:15" ht="12" customHeight="1" x14ac:dyDescent="0.2">
      <c r="A44" s="12">
        <f>C17</f>
        <v>0</v>
      </c>
      <c r="B44" s="33" t="s">
        <v>74</v>
      </c>
      <c r="C44" s="13">
        <f>F17/1000</f>
        <v>0</v>
      </c>
      <c r="D44" s="31" t="s">
        <v>18</v>
      </c>
      <c r="E44" s="40" t="s">
        <v>19</v>
      </c>
      <c r="F44" s="37" t="s">
        <v>20</v>
      </c>
      <c r="G44" s="37" t="s">
        <v>19</v>
      </c>
      <c r="H44" s="33" t="s">
        <v>70</v>
      </c>
      <c r="I44" s="4">
        <f>I17</f>
        <v>0</v>
      </c>
      <c r="J44" s="33" t="s">
        <v>11</v>
      </c>
      <c r="K44" s="4">
        <f>K17</f>
        <v>0</v>
      </c>
      <c r="L44" s="31" t="s">
        <v>8</v>
      </c>
      <c r="M44" s="49" t="s">
        <v>21</v>
      </c>
      <c r="N44" s="14">
        <f>A44*C44*(I44/100)*K44</f>
        <v>0</v>
      </c>
      <c r="O44" s="32" t="s">
        <v>15</v>
      </c>
    </row>
    <row r="45" spans="1:15" ht="12" customHeight="1" x14ac:dyDescent="0.2">
      <c r="A45" s="63"/>
      <c r="B45" s="64"/>
      <c r="C45" s="64"/>
      <c r="D45" s="64"/>
      <c r="E45" s="64"/>
      <c r="F45" s="64"/>
      <c r="G45" s="64"/>
      <c r="H45" s="64"/>
      <c r="I45" s="4">
        <f>I18</f>
        <v>0</v>
      </c>
      <c r="J45" s="33" t="s">
        <v>11</v>
      </c>
      <c r="K45" s="4">
        <f>K18</f>
        <v>0</v>
      </c>
      <c r="L45" s="31" t="s">
        <v>8</v>
      </c>
      <c r="M45" s="49" t="s">
        <v>21</v>
      </c>
      <c r="N45" s="14">
        <f>A44*C44*(I45/100)*K45</f>
        <v>0</v>
      </c>
      <c r="O45" s="32" t="s">
        <v>15</v>
      </c>
    </row>
    <row r="46" spans="1:15" ht="5.0999999999999996" customHeight="1" x14ac:dyDescent="0.2">
      <c r="A46" s="30"/>
      <c r="B46" s="31"/>
      <c r="C46" s="31"/>
      <c r="D46" s="31"/>
      <c r="E46" s="31"/>
      <c r="F46" s="31"/>
      <c r="G46" s="31"/>
      <c r="H46" s="31"/>
      <c r="I46" s="31"/>
      <c r="J46" s="31"/>
      <c r="K46" s="31"/>
      <c r="L46" s="31"/>
      <c r="M46" s="31"/>
      <c r="N46" s="31"/>
      <c r="O46" s="32"/>
    </row>
    <row r="47" spans="1:15" ht="12" customHeight="1" x14ac:dyDescent="0.2">
      <c r="A47" s="12">
        <f>C20</f>
        <v>0</v>
      </c>
      <c r="B47" s="33" t="s">
        <v>72</v>
      </c>
      <c r="C47" s="13">
        <f>F20/1000</f>
        <v>0</v>
      </c>
      <c r="D47" s="31" t="s">
        <v>18</v>
      </c>
      <c r="E47" s="40" t="s">
        <v>19</v>
      </c>
      <c r="F47" s="37" t="s">
        <v>20</v>
      </c>
      <c r="G47" s="37" t="s">
        <v>19</v>
      </c>
      <c r="H47" s="33" t="s">
        <v>70</v>
      </c>
      <c r="I47" s="4">
        <f>I20</f>
        <v>0</v>
      </c>
      <c r="J47" s="33" t="s">
        <v>11</v>
      </c>
      <c r="K47" s="4">
        <f>K20</f>
        <v>0</v>
      </c>
      <c r="L47" s="31" t="s">
        <v>8</v>
      </c>
      <c r="M47" s="49" t="s">
        <v>21</v>
      </c>
      <c r="N47" s="14">
        <f>A47*C47*(I47/100)*K47</f>
        <v>0</v>
      </c>
      <c r="O47" s="32" t="s">
        <v>15</v>
      </c>
    </row>
    <row r="48" spans="1:15" ht="8.1" customHeight="1" x14ac:dyDescent="0.2">
      <c r="A48" s="30"/>
      <c r="B48" s="31"/>
      <c r="C48" s="31"/>
      <c r="D48" s="31"/>
      <c r="E48" s="31"/>
      <c r="F48" s="31"/>
      <c r="G48" s="31"/>
      <c r="H48" s="31"/>
      <c r="I48" s="31"/>
      <c r="J48" s="31"/>
      <c r="K48" s="31"/>
      <c r="L48" s="31"/>
      <c r="M48" s="31"/>
      <c r="N48" s="31"/>
      <c r="O48" s="32"/>
    </row>
    <row r="49" spans="1:16" ht="12" customHeight="1" x14ac:dyDescent="0.2">
      <c r="A49" s="61" t="s">
        <v>111</v>
      </c>
      <c r="B49" s="62"/>
      <c r="C49" s="62"/>
      <c r="D49" s="31"/>
      <c r="E49" s="31"/>
      <c r="F49" s="31"/>
      <c r="G49" s="31"/>
      <c r="H49" s="31"/>
      <c r="I49" s="31"/>
      <c r="J49" s="31"/>
      <c r="K49" s="31"/>
      <c r="L49" s="31"/>
      <c r="M49" s="31"/>
      <c r="N49" s="31"/>
      <c r="O49" s="32"/>
    </row>
    <row r="50" spans="1:16" ht="12" customHeight="1" x14ac:dyDescent="0.2">
      <c r="A50" s="30"/>
      <c r="B50" s="60" t="s">
        <v>112</v>
      </c>
      <c r="C50" s="60"/>
      <c r="D50" s="60"/>
      <c r="E50" s="60"/>
      <c r="F50" s="60"/>
      <c r="G50" s="60"/>
      <c r="H50" s="60"/>
      <c r="I50" s="60"/>
      <c r="J50" s="60"/>
      <c r="K50" s="60"/>
      <c r="L50" s="60"/>
      <c r="M50" s="50" t="s">
        <v>21</v>
      </c>
      <c r="N50" s="14">
        <f>N22+N25</f>
        <v>0</v>
      </c>
      <c r="O50" s="32" t="s">
        <v>15</v>
      </c>
    </row>
    <row r="51" spans="1:16" ht="8.1" customHeight="1" x14ac:dyDescent="0.2">
      <c r="A51" s="30"/>
      <c r="B51" s="31"/>
      <c r="C51" s="31"/>
      <c r="D51" s="31"/>
      <c r="E51" s="31"/>
      <c r="F51" s="31"/>
      <c r="G51" s="31"/>
      <c r="H51" s="31"/>
      <c r="I51" s="31"/>
      <c r="J51" s="31"/>
      <c r="K51" s="31"/>
      <c r="L51" s="31"/>
      <c r="M51" s="31"/>
      <c r="N51" s="31"/>
      <c r="O51" s="32"/>
    </row>
    <row r="52" spans="1:16" ht="12" customHeight="1" x14ac:dyDescent="0.2">
      <c r="A52" s="48" t="s">
        <v>73</v>
      </c>
      <c r="B52" s="31"/>
      <c r="C52" s="31"/>
      <c r="D52" s="31"/>
      <c r="E52" s="31"/>
      <c r="F52" s="31"/>
      <c r="G52" s="31"/>
      <c r="H52" s="31"/>
      <c r="I52" s="31"/>
      <c r="J52" s="31"/>
      <c r="K52" s="31"/>
      <c r="L52" s="31"/>
      <c r="M52" s="31"/>
      <c r="N52" s="31"/>
      <c r="O52" s="32"/>
    </row>
    <row r="53" spans="1:16" ht="12" customHeight="1" x14ac:dyDescent="0.2">
      <c r="A53" s="59" t="s">
        <v>121</v>
      </c>
      <c r="B53" s="60"/>
      <c r="C53" s="15">
        <f>N28</f>
        <v>0</v>
      </c>
      <c r="D53" s="31" t="s">
        <v>77</v>
      </c>
      <c r="E53" s="40" t="s">
        <v>19</v>
      </c>
      <c r="F53" s="16">
        <f>N30</f>
        <v>0</v>
      </c>
      <c r="G53" s="31" t="s">
        <v>123</v>
      </c>
      <c r="H53" s="31"/>
      <c r="I53" s="31"/>
      <c r="J53" s="31"/>
      <c r="K53" s="31"/>
      <c r="L53" s="31"/>
      <c r="M53" s="40" t="s">
        <v>21</v>
      </c>
      <c r="N53" s="14">
        <f>C53*F53/12</f>
        <v>0</v>
      </c>
      <c r="O53" s="32" t="s">
        <v>15</v>
      </c>
    </row>
    <row r="54" spans="1:16" ht="5.0999999999999996" customHeight="1" x14ac:dyDescent="0.2">
      <c r="A54" s="36"/>
      <c r="B54" s="33"/>
      <c r="C54" s="23"/>
      <c r="D54" s="51"/>
      <c r="E54" s="52"/>
      <c r="F54" s="24"/>
      <c r="G54" s="51"/>
      <c r="H54" s="51"/>
      <c r="I54" s="51"/>
      <c r="J54" s="51"/>
      <c r="K54" s="51"/>
      <c r="L54" s="51"/>
      <c r="M54" s="52"/>
      <c r="N54" s="25"/>
      <c r="O54" s="32"/>
    </row>
    <row r="55" spans="1:16" ht="12" customHeight="1" x14ac:dyDescent="0.2">
      <c r="A55" s="36"/>
      <c r="B55" s="33" t="s">
        <v>122</v>
      </c>
      <c r="C55" s="15">
        <f>N32</f>
        <v>0</v>
      </c>
      <c r="D55" s="51" t="s">
        <v>77</v>
      </c>
      <c r="E55" s="52" t="s">
        <v>19</v>
      </c>
      <c r="F55" s="16">
        <f>N34</f>
        <v>0</v>
      </c>
      <c r="G55" s="51" t="s">
        <v>123</v>
      </c>
      <c r="H55" s="51"/>
      <c r="I55" s="51"/>
      <c r="J55" s="51"/>
      <c r="K55" s="51"/>
      <c r="L55" s="51"/>
      <c r="M55" s="52" t="s">
        <v>21</v>
      </c>
      <c r="N55" s="14">
        <f>C55*F55/12</f>
        <v>0</v>
      </c>
      <c r="O55" s="32" t="s">
        <v>15</v>
      </c>
    </row>
    <row r="56" spans="1:16" ht="5.0999999999999996" customHeight="1" x14ac:dyDescent="0.2">
      <c r="A56" s="36"/>
      <c r="B56" s="33"/>
      <c r="C56" s="23"/>
      <c r="D56" s="51"/>
      <c r="E56" s="52"/>
      <c r="F56" s="24"/>
      <c r="G56" s="51"/>
      <c r="H56" s="51"/>
      <c r="I56" s="51"/>
      <c r="J56" s="51"/>
      <c r="K56" s="51"/>
      <c r="L56" s="51"/>
      <c r="M56" s="52"/>
      <c r="N56" s="25"/>
      <c r="O56" s="32"/>
    </row>
    <row r="57" spans="1:16" ht="12" customHeight="1" thickBot="1" x14ac:dyDescent="0.25">
      <c r="A57" s="36"/>
      <c r="B57" s="33" t="s">
        <v>124</v>
      </c>
      <c r="C57" s="15">
        <f>N28+N32</f>
        <v>0</v>
      </c>
      <c r="D57" s="26" t="s">
        <v>77</v>
      </c>
      <c r="E57" s="40" t="s">
        <v>19</v>
      </c>
      <c r="F57" s="16">
        <f>N36</f>
        <v>0</v>
      </c>
      <c r="G57" s="31" t="s">
        <v>125</v>
      </c>
      <c r="H57" s="31"/>
      <c r="I57" s="31"/>
      <c r="J57" s="31"/>
      <c r="K57" s="31"/>
      <c r="L57" s="31"/>
      <c r="M57" s="49" t="s">
        <v>21</v>
      </c>
      <c r="N57" s="17">
        <f>C57*F57/12</f>
        <v>0</v>
      </c>
      <c r="O57" s="32" t="s">
        <v>15</v>
      </c>
    </row>
    <row r="58" spans="1:16" ht="5.0999999999999996" customHeight="1" x14ac:dyDescent="0.2">
      <c r="A58" s="36"/>
      <c r="B58" s="33"/>
      <c r="C58" s="33"/>
      <c r="D58" s="23"/>
      <c r="E58" s="40"/>
      <c r="F58" s="24"/>
      <c r="G58" s="31"/>
      <c r="H58" s="31"/>
      <c r="I58" s="31"/>
      <c r="J58" s="31"/>
      <c r="K58" s="31"/>
      <c r="L58" s="31"/>
      <c r="M58" s="49"/>
      <c r="N58" s="25"/>
      <c r="O58" s="32"/>
    </row>
    <row r="59" spans="1:16" ht="15" customHeight="1" x14ac:dyDescent="0.2">
      <c r="A59" s="65"/>
      <c r="B59" s="66"/>
      <c r="C59" s="66"/>
      <c r="D59" s="66"/>
      <c r="E59" s="66"/>
      <c r="F59" s="66"/>
      <c r="G59" s="66"/>
      <c r="H59" s="66"/>
      <c r="I59" s="66"/>
      <c r="J59" s="57" t="s">
        <v>78</v>
      </c>
      <c r="K59" s="58"/>
      <c r="L59" s="58"/>
      <c r="M59" s="53" t="s">
        <v>21</v>
      </c>
      <c r="N59" s="18">
        <f>SUM(N38:N57)</f>
        <v>0</v>
      </c>
      <c r="O59" s="54" t="s">
        <v>15</v>
      </c>
    </row>
    <row r="60" spans="1:16" x14ac:dyDescent="0.2">
      <c r="P60" s="28"/>
    </row>
    <row r="68" spans="16:24" x14ac:dyDescent="0.2">
      <c r="P68" s="55"/>
      <c r="Q68" s="55"/>
      <c r="R68" s="55"/>
      <c r="S68" s="55"/>
      <c r="T68" s="55"/>
      <c r="U68" s="55"/>
      <c r="V68" s="55"/>
      <c r="W68" s="55"/>
      <c r="X68" s="55"/>
    </row>
    <row r="88" spans="16:24" ht="18" x14ac:dyDescent="0.25">
      <c r="P88" s="56"/>
      <c r="Q88" s="56"/>
      <c r="R88" s="56"/>
      <c r="S88" s="56"/>
      <c r="T88" s="56"/>
      <c r="U88" s="56"/>
      <c r="V88" s="56"/>
      <c r="W88" s="56"/>
      <c r="X88" s="56"/>
    </row>
    <row r="90" spans="16:24" ht="18" x14ac:dyDescent="0.25">
      <c r="P90" s="56"/>
      <c r="Q90" s="56"/>
      <c r="R90" s="56"/>
      <c r="S90" s="56"/>
      <c r="T90" s="56"/>
      <c r="U90" s="56"/>
      <c r="V90" s="56"/>
      <c r="W90" s="56"/>
      <c r="X90" s="56"/>
    </row>
    <row r="91" spans="16:24" ht="18" x14ac:dyDescent="0.25">
      <c r="P91" s="56"/>
      <c r="Q91" s="56"/>
      <c r="R91" s="56"/>
      <c r="S91" s="56"/>
      <c r="T91" s="56"/>
      <c r="U91" s="56"/>
      <c r="V91" s="56"/>
      <c r="W91" s="56"/>
      <c r="X91" s="56"/>
    </row>
  </sheetData>
  <sheetProtection password="C8B3" sheet="1" objects="1" scenarios="1"/>
  <mergeCells count="50">
    <mergeCell ref="A1:O1"/>
    <mergeCell ref="A2:O2"/>
    <mergeCell ref="A3:B3"/>
    <mergeCell ref="C3:E3"/>
    <mergeCell ref="F3:G3"/>
    <mergeCell ref="I3:M3"/>
    <mergeCell ref="N3:O3"/>
    <mergeCell ref="I4:M4"/>
    <mergeCell ref="A5:B5"/>
    <mergeCell ref="C5:E5"/>
    <mergeCell ref="F5:G5"/>
    <mergeCell ref="I5:M5"/>
    <mergeCell ref="N5:O5"/>
    <mergeCell ref="I6:M6"/>
    <mergeCell ref="A7:B7"/>
    <mergeCell ref="C7:E7"/>
    <mergeCell ref="F7:G7"/>
    <mergeCell ref="I7:M7"/>
    <mergeCell ref="N7:O7"/>
    <mergeCell ref="C8:D8"/>
    <mergeCell ref="I8:M8"/>
    <mergeCell ref="E9:G9"/>
    <mergeCell ref="L9:O9"/>
    <mergeCell ref="A11:B11"/>
    <mergeCell ref="D11:E11"/>
    <mergeCell ref="M11:O12"/>
    <mergeCell ref="A12:H12"/>
    <mergeCell ref="A14:B14"/>
    <mergeCell ref="D14:E14"/>
    <mergeCell ref="A15:H15"/>
    <mergeCell ref="M15:O15"/>
    <mergeCell ref="A17:B17"/>
    <mergeCell ref="D17:E17"/>
    <mergeCell ref="A20:B20"/>
    <mergeCell ref="D20:E20"/>
    <mergeCell ref="A59:I59"/>
    <mergeCell ref="A18:H18"/>
    <mergeCell ref="M18:O18"/>
    <mergeCell ref="M20:O20"/>
    <mergeCell ref="A37:C37"/>
    <mergeCell ref="A22:L22"/>
    <mergeCell ref="D23:L23"/>
    <mergeCell ref="A28:L28"/>
    <mergeCell ref="J59:L59"/>
    <mergeCell ref="A53:B53"/>
    <mergeCell ref="A49:C49"/>
    <mergeCell ref="B50:L50"/>
    <mergeCell ref="A39:H39"/>
    <mergeCell ref="A42:H42"/>
    <mergeCell ref="A45:H45"/>
  </mergeCells>
  <phoneticPr fontId="5" type="noConversion"/>
  <pageMargins left="1.25" right="0.75" top="0.61" bottom="0.73" header="0.5" footer="0.5"/>
  <pageSetup scale="67" orientation="landscape" r:id="rId1"/>
  <headerFooter alignWithMargins="0">
    <oddFooter>&amp;LRevised 01-07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locked="0" defaultSize="0" autoLine="0" autoPict="0">
                <anchor moveWithCells="1">
                  <from>
                    <xdr:col>2</xdr:col>
                    <xdr:colOff>0</xdr:colOff>
                    <xdr:row>3</xdr:row>
                    <xdr:rowOff>76200</xdr:rowOff>
                  </from>
                  <to>
                    <xdr:col>5</xdr:col>
                    <xdr:colOff>200025</xdr:colOff>
                    <xdr:row>5</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4"/>
  <sheetViews>
    <sheetView topLeftCell="A26" workbookViewId="0">
      <selection activeCell="L27" sqref="L27"/>
    </sheetView>
  </sheetViews>
  <sheetFormatPr defaultRowHeight="12.75" x14ac:dyDescent="0.2"/>
  <sheetData>
    <row r="1" spans="1:2" x14ac:dyDescent="0.2">
      <c r="B1" s="2" t="s">
        <v>23</v>
      </c>
    </row>
    <row r="2" spans="1:2" x14ac:dyDescent="0.2">
      <c r="A2">
        <v>1</v>
      </c>
    </row>
    <row r="3" spans="1:2" x14ac:dyDescent="0.2">
      <c r="A3">
        <v>2</v>
      </c>
      <c r="B3" t="s">
        <v>24</v>
      </c>
    </row>
    <row r="4" spans="1:2" x14ac:dyDescent="0.2">
      <c r="A4">
        <v>3</v>
      </c>
      <c r="B4" t="s">
        <v>25</v>
      </c>
    </row>
    <row r="5" spans="1:2" x14ac:dyDescent="0.2">
      <c r="A5">
        <v>4</v>
      </c>
      <c r="B5" t="s">
        <v>26</v>
      </c>
    </row>
    <row r="6" spans="1:2" x14ac:dyDescent="0.2">
      <c r="A6">
        <v>5</v>
      </c>
      <c r="B6" t="s">
        <v>27</v>
      </c>
    </row>
    <row r="7" spans="1:2" x14ac:dyDescent="0.2">
      <c r="A7">
        <v>6</v>
      </c>
      <c r="B7" t="s">
        <v>28</v>
      </c>
    </row>
    <row r="8" spans="1:2" x14ac:dyDescent="0.2">
      <c r="A8">
        <v>7</v>
      </c>
      <c r="B8" t="s">
        <v>29</v>
      </c>
    </row>
    <row r="9" spans="1:2" x14ac:dyDescent="0.2">
      <c r="A9">
        <v>8</v>
      </c>
      <c r="B9" t="s">
        <v>30</v>
      </c>
    </row>
    <row r="10" spans="1:2" x14ac:dyDescent="0.2">
      <c r="A10">
        <v>9</v>
      </c>
      <c r="B10" t="s">
        <v>31</v>
      </c>
    </row>
    <row r="11" spans="1:2" x14ac:dyDescent="0.2">
      <c r="A11">
        <v>10</v>
      </c>
      <c r="B11" t="s">
        <v>32</v>
      </c>
    </row>
    <row r="12" spans="1:2" x14ac:dyDescent="0.2">
      <c r="A12">
        <v>11</v>
      </c>
      <c r="B12" t="s">
        <v>33</v>
      </c>
    </row>
    <row r="13" spans="1:2" x14ac:dyDescent="0.2">
      <c r="A13">
        <v>12</v>
      </c>
      <c r="B13" t="s">
        <v>34</v>
      </c>
    </row>
    <row r="14" spans="1:2" x14ac:dyDescent="0.2">
      <c r="A14">
        <v>13</v>
      </c>
      <c r="B14" t="s">
        <v>35</v>
      </c>
    </row>
    <row r="15" spans="1:2" x14ac:dyDescent="0.2">
      <c r="A15">
        <v>14</v>
      </c>
      <c r="B15" t="s">
        <v>36</v>
      </c>
    </row>
    <row r="16" spans="1:2" x14ac:dyDescent="0.2">
      <c r="A16">
        <v>15</v>
      </c>
      <c r="B16" t="s">
        <v>37</v>
      </c>
    </row>
    <row r="17" spans="1:2" x14ac:dyDescent="0.2">
      <c r="A17">
        <v>16</v>
      </c>
      <c r="B17" t="s">
        <v>38</v>
      </c>
    </row>
    <row r="18" spans="1:2" x14ac:dyDescent="0.2">
      <c r="A18">
        <v>17</v>
      </c>
      <c r="B18" t="s">
        <v>39</v>
      </c>
    </row>
    <row r="19" spans="1:2" x14ac:dyDescent="0.2">
      <c r="A19">
        <v>18</v>
      </c>
      <c r="B19" t="s">
        <v>40</v>
      </c>
    </row>
    <row r="20" spans="1:2" x14ac:dyDescent="0.2">
      <c r="A20">
        <v>19</v>
      </c>
      <c r="B20" t="s">
        <v>41</v>
      </c>
    </row>
    <row r="21" spans="1:2" x14ac:dyDescent="0.2">
      <c r="A21">
        <v>20</v>
      </c>
      <c r="B21" t="s">
        <v>42</v>
      </c>
    </row>
    <row r="22" spans="1:2" x14ac:dyDescent="0.2">
      <c r="A22">
        <v>21</v>
      </c>
      <c r="B22" t="s">
        <v>43</v>
      </c>
    </row>
    <row r="23" spans="1:2" x14ac:dyDescent="0.2">
      <c r="A23">
        <v>22</v>
      </c>
      <c r="B23" t="s">
        <v>44</v>
      </c>
    </row>
    <row r="24" spans="1:2" x14ac:dyDescent="0.2">
      <c r="A24">
        <v>23</v>
      </c>
      <c r="B24" t="s">
        <v>45</v>
      </c>
    </row>
    <row r="25" spans="1:2" x14ac:dyDescent="0.2">
      <c r="A25">
        <v>24</v>
      </c>
      <c r="B25" t="s">
        <v>46</v>
      </c>
    </row>
    <row r="26" spans="1:2" x14ac:dyDescent="0.2">
      <c r="A26">
        <v>25</v>
      </c>
      <c r="B26" t="s">
        <v>47</v>
      </c>
    </row>
    <row r="27" spans="1:2" x14ac:dyDescent="0.2">
      <c r="A27">
        <v>26</v>
      </c>
      <c r="B27" t="s">
        <v>48</v>
      </c>
    </row>
    <row r="28" spans="1:2" x14ac:dyDescent="0.2">
      <c r="A28">
        <v>27</v>
      </c>
      <c r="B28" t="s">
        <v>49</v>
      </c>
    </row>
    <row r="29" spans="1:2" x14ac:dyDescent="0.2">
      <c r="A29">
        <v>28</v>
      </c>
      <c r="B29" t="s">
        <v>50</v>
      </c>
    </row>
    <row r="30" spans="1:2" x14ac:dyDescent="0.2">
      <c r="A30">
        <v>29</v>
      </c>
      <c r="B30" t="s">
        <v>51</v>
      </c>
    </row>
    <row r="31" spans="1:2" x14ac:dyDescent="0.2">
      <c r="A31">
        <v>30</v>
      </c>
      <c r="B31" t="s">
        <v>52</v>
      </c>
    </row>
    <row r="32" spans="1:2" x14ac:dyDescent="0.2">
      <c r="A32">
        <v>31</v>
      </c>
      <c r="B32" t="s">
        <v>53</v>
      </c>
    </row>
    <row r="33" spans="1:2" x14ac:dyDescent="0.2">
      <c r="A33">
        <v>32</v>
      </c>
      <c r="B33" t="s">
        <v>54</v>
      </c>
    </row>
    <row r="34" spans="1:2" x14ac:dyDescent="0.2">
      <c r="A34">
        <v>33</v>
      </c>
      <c r="B34" t="s">
        <v>55</v>
      </c>
    </row>
    <row r="35" spans="1:2" x14ac:dyDescent="0.2">
      <c r="A35">
        <v>34</v>
      </c>
      <c r="B35" t="s">
        <v>56</v>
      </c>
    </row>
    <row r="36" spans="1:2" x14ac:dyDescent="0.2">
      <c r="A36">
        <v>35</v>
      </c>
      <c r="B36" t="s">
        <v>57</v>
      </c>
    </row>
    <row r="37" spans="1:2" x14ac:dyDescent="0.2">
      <c r="A37">
        <v>36</v>
      </c>
      <c r="B37" t="s">
        <v>58</v>
      </c>
    </row>
    <row r="38" spans="1:2" x14ac:dyDescent="0.2">
      <c r="A38">
        <v>37</v>
      </c>
      <c r="B38" t="s">
        <v>59</v>
      </c>
    </row>
    <row r="39" spans="1:2" x14ac:dyDescent="0.2">
      <c r="A39">
        <v>38</v>
      </c>
      <c r="B39" t="s">
        <v>60</v>
      </c>
    </row>
    <row r="40" spans="1:2" x14ac:dyDescent="0.2">
      <c r="A40">
        <v>39</v>
      </c>
      <c r="B40" t="s">
        <v>61</v>
      </c>
    </row>
    <row r="41" spans="1:2" x14ac:dyDescent="0.2">
      <c r="A41">
        <v>40</v>
      </c>
      <c r="B41" t="s">
        <v>62</v>
      </c>
    </row>
    <row r="42" spans="1:2" x14ac:dyDescent="0.2">
      <c r="A42">
        <v>41</v>
      </c>
      <c r="B42" t="s">
        <v>63</v>
      </c>
    </row>
    <row r="43" spans="1:2" x14ac:dyDescent="0.2">
      <c r="A43">
        <v>42</v>
      </c>
      <c r="B43" t="s">
        <v>64</v>
      </c>
    </row>
    <row r="44" spans="1:2" x14ac:dyDescent="0.2">
      <c r="A44">
        <v>43</v>
      </c>
      <c r="B44" t="s">
        <v>65</v>
      </c>
    </row>
    <row r="45" spans="1:2" x14ac:dyDescent="0.2">
      <c r="A45">
        <v>44</v>
      </c>
      <c r="B45" t="s">
        <v>66</v>
      </c>
    </row>
    <row r="46" spans="1:2" x14ac:dyDescent="0.2">
      <c r="A46">
        <v>45</v>
      </c>
      <c r="B46" t="s">
        <v>67</v>
      </c>
    </row>
    <row r="47" spans="1:2" x14ac:dyDescent="0.2">
      <c r="A47">
        <v>46</v>
      </c>
      <c r="B47" t="s">
        <v>68</v>
      </c>
    </row>
    <row r="48" spans="1:2" x14ac:dyDescent="0.2">
      <c r="A48">
        <v>47</v>
      </c>
      <c r="B48" t="s">
        <v>69</v>
      </c>
    </row>
    <row r="51" spans="5:5" x14ac:dyDescent="0.2">
      <c r="E51" s="3"/>
    </row>
    <row r="52" spans="5:5" x14ac:dyDescent="0.2">
      <c r="E52" s="3"/>
    </row>
    <row r="53" spans="5:5" x14ac:dyDescent="0.2">
      <c r="E53" s="3"/>
    </row>
    <row r="54" spans="5:5" x14ac:dyDescent="0.2">
      <c r="E54" s="3"/>
    </row>
  </sheetData>
  <phoneticPr fontId="5"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03A8863407E664796599335E8D3881C" ma:contentTypeVersion="0" ma:contentTypeDescription="Create a new document." ma:contentTypeScope="" ma:versionID="36a67a0514c682346a2c098f2f816cdf">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868AFD0-138B-4A6A-9B4F-87794FFFBD23}">
  <ds:schemaRefs>
    <ds:schemaRef ds:uri="http://schemas.microsoft.com/sharepoint/v3/contenttype/forms"/>
  </ds:schemaRefs>
</ds:datastoreItem>
</file>

<file path=customXml/itemProps2.xml><?xml version="1.0" encoding="utf-8"?>
<ds:datastoreItem xmlns:ds="http://schemas.openxmlformats.org/officeDocument/2006/customXml" ds:itemID="{91F8E1E3-4734-4DB1-9667-C32AD661D4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F1A2A656-350B-4FB7-89F8-B66CC7555FFC}">
  <ds:schemaRefs>
    <ds:schemaRef ds:uri="http://schemas.microsoft.com/office/2006/documentManagement/types"/>
    <ds:schemaRef ds:uri="http://www.w3.org/XML/1998/namespace"/>
    <ds:schemaRef ds:uri="http://schemas.microsoft.com/office/2006/metadata/properties"/>
    <ds:schemaRef ds:uri="http://purl.org/dc/elements/1.1/"/>
    <ds:schemaRef ds:uri="http://purl.org/dc/terms/"/>
    <ds:schemaRef ds:uri="http://purl.org/dc/dcmityp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Instructions</vt:lpstr>
      <vt:lpstr>Structure Sizing Data</vt:lpstr>
      <vt:lpstr>Tables</vt:lpstr>
      <vt:lpstr>'Structure Sizing Data'!Print_Area</vt:lpstr>
    </vt:vector>
  </TitlesOfParts>
  <Company>USDA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chris.s.hamilton</dc:creator>
  <cp:lastModifiedBy>Schaeffer, Anton - NRCS, Harrisonburg, VA</cp:lastModifiedBy>
  <cp:lastPrinted>2007-02-02T14:01:12Z</cp:lastPrinted>
  <dcterms:created xsi:type="dcterms:W3CDTF">2006-09-27T12:20:40Z</dcterms:created>
  <dcterms:modified xsi:type="dcterms:W3CDTF">2014-04-11T16:45:55Z</dcterms:modified>
</cp:coreProperties>
</file>