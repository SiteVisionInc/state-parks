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95" windowHeight="8700" activeTab="1"/>
  </bookViews>
  <sheets>
    <sheet name="Instructions" sheetId="5" r:id="rId1"/>
    <sheet name="Structure Sizing Data" sheetId="1" r:id="rId2"/>
    <sheet name="Circular Structure Sizing" sheetId="2" r:id="rId3"/>
    <sheet name="Earthen Pit Sizing" sheetId="3" r:id="rId4"/>
    <sheet name="Tables" sheetId="4" state="hidden" r:id="rId5"/>
  </sheets>
  <definedNames>
    <definedName name="_xlnm.Print_Area" localSheetId="3">'Earthen Pit Sizing'!$A$1:$S$58</definedName>
    <definedName name="_xlnm.Print_Area" localSheetId="1">'Structure Sizing Data'!$A$1:$P$62</definedName>
  </definedNames>
  <calcPr calcId="145621"/>
</workbook>
</file>

<file path=xl/calcChain.xml><?xml version="1.0" encoding="utf-8"?>
<calcChain xmlns="http://schemas.openxmlformats.org/spreadsheetml/2006/main">
  <c r="F38" i="3" l="1"/>
  <c r="J40" i="3" s="1"/>
  <c r="N38" i="3"/>
  <c r="N42" i="3" s="1"/>
  <c r="L38" i="3"/>
  <c r="R42" i="3" s="1"/>
  <c r="I24" i="3"/>
  <c r="I22" i="3"/>
  <c r="I20" i="3"/>
  <c r="I18" i="3"/>
  <c r="A38" i="1"/>
  <c r="C38" i="1"/>
  <c r="J38" i="1"/>
  <c r="L38" i="1"/>
  <c r="A41" i="1"/>
  <c r="C41" i="1"/>
  <c r="J41" i="1"/>
  <c r="L41" i="1"/>
  <c r="O53" i="1"/>
  <c r="G60" i="1"/>
  <c r="O50" i="1"/>
  <c r="D13" i="2"/>
  <c r="D22" i="2"/>
  <c r="L36" i="2"/>
  <c r="I29" i="2"/>
  <c r="L38" i="2"/>
  <c r="L34" i="2"/>
  <c r="C47" i="1"/>
  <c r="C44" i="1"/>
  <c r="A47" i="1"/>
  <c r="J47" i="1"/>
  <c r="O47" i="1" s="1"/>
  <c r="L47" i="1"/>
  <c r="A44" i="1"/>
  <c r="O45" i="1" s="1"/>
  <c r="L45" i="1"/>
  <c r="J45" i="1"/>
  <c r="J44" i="1"/>
  <c r="L44" i="1"/>
  <c r="O44" i="1"/>
  <c r="J42" i="1"/>
  <c r="L42" i="1"/>
  <c r="L39" i="1"/>
  <c r="J39" i="1"/>
  <c r="G58" i="1"/>
  <c r="O58" i="1" s="1"/>
  <c r="G56" i="1"/>
  <c r="C60" i="1"/>
  <c r="C58" i="1"/>
  <c r="C56" i="1"/>
  <c r="F33" i="3"/>
  <c r="O51" i="3" s="1"/>
  <c r="O56" i="3"/>
  <c r="O49" i="3"/>
  <c r="O54" i="3"/>
  <c r="I2" i="3"/>
  <c r="J44" i="3" s="1"/>
  <c r="D2" i="3"/>
  <c r="G2" i="2"/>
  <c r="I31" i="2" s="1"/>
  <c r="A37" i="2"/>
  <c r="I27" i="2"/>
  <c r="C2" i="2"/>
  <c r="N11" i="1"/>
  <c r="C9" i="1"/>
  <c r="O60" i="1" l="1"/>
  <c r="O41" i="1"/>
  <c r="O42" i="1"/>
  <c r="O39" i="1"/>
  <c r="O56" i="1"/>
  <c r="O38" i="1"/>
  <c r="D48" i="3"/>
  <c r="R40" i="3"/>
  <c r="D46" i="3" s="1"/>
  <c r="I54" i="3"/>
  <c r="N40" i="3"/>
  <c r="I52" i="3" s="1"/>
  <c r="O62" i="1" l="1"/>
  <c r="F4" i="2" s="1"/>
  <c r="F9" i="2" s="1"/>
  <c r="L58" i="3"/>
  <c r="G4" i="3" l="1"/>
  <c r="G9" i="3" s="1"/>
  <c r="O22" i="3" s="1"/>
  <c r="N22" i="3" s="1"/>
  <c r="D15" i="2"/>
  <c r="D31" i="2"/>
  <c r="D44" i="3" l="1"/>
  <c r="O24" i="3"/>
  <c r="N24" i="3" s="1"/>
  <c r="O18" i="3"/>
  <c r="N18" i="3" s="1"/>
  <c r="O20" i="3"/>
  <c r="N20" i="3" s="1"/>
  <c r="D27" i="2"/>
  <c r="F29" i="2" s="1"/>
  <c r="L40" i="2"/>
  <c r="K42" i="2" s="1"/>
</calcChain>
</file>

<file path=xl/sharedStrings.xml><?xml version="1.0" encoding="utf-8"?>
<sst xmlns="http://schemas.openxmlformats.org/spreadsheetml/2006/main" count="409" uniqueCount="225">
  <si>
    <t>Cooperator:</t>
  </si>
  <si>
    <t>Service Center:</t>
  </si>
  <si>
    <t>Conservation District:</t>
  </si>
  <si>
    <t>Assisted By:</t>
  </si>
  <si>
    <t>Tract Number:</t>
  </si>
  <si>
    <t>Field Number:</t>
  </si>
  <si>
    <t>Date:</t>
  </si>
  <si>
    <t>Storage Period:</t>
  </si>
  <si>
    <t>days</t>
  </si>
  <si>
    <t>Average weight:</t>
  </si>
  <si>
    <t>% confinement:</t>
  </si>
  <si>
    <t>for</t>
  </si>
  <si>
    <t>Replacement Heifers:</t>
  </si>
  <si>
    <t>Calves:</t>
  </si>
  <si>
    <t>Other:</t>
  </si>
  <si>
    <t>cubic feet</t>
  </si>
  <si>
    <t>inches</t>
  </si>
  <si>
    <t>I. Manure Production:</t>
  </si>
  <si>
    <t>animal units</t>
  </si>
  <si>
    <t>X</t>
  </si>
  <si>
    <t>=</t>
  </si>
  <si>
    <t/>
  </si>
  <si>
    <t>To determine total volume of waste and runoff to be stored in new structure:</t>
  </si>
  <si>
    <t>Select diameter for structure:</t>
  </si>
  <si>
    <t xml:space="preserve"> </t>
  </si>
  <si>
    <t>This structure provides:</t>
  </si>
  <si>
    <t>cubic feet of storage per foot of height</t>
  </si>
  <si>
    <t>So it will take:</t>
  </si>
  <si>
    <t>feet of height in this diameter structure to store the waste and runoff volume.</t>
  </si>
  <si>
    <t>Direct rainfall on the structure:</t>
  </si>
  <si>
    <t>feet</t>
  </si>
  <si>
    <t>(less evaporation)</t>
  </si>
  <si>
    <t>Add:</t>
  </si>
  <si>
    <t>feet of freeboard</t>
  </si>
  <si>
    <t>Total height of the structure =</t>
  </si>
  <si>
    <t xml:space="preserve">feet for the selected diameter of </t>
  </si>
  <si>
    <t>Final dimensions of the structure:</t>
  </si>
  <si>
    <t>feet high and</t>
  </si>
  <si>
    <t>feet in diameter</t>
  </si>
  <si>
    <t>Structure sized for:</t>
  </si>
  <si>
    <t>to provide</t>
  </si>
  <si>
    <t>days storage</t>
  </si>
  <si>
    <t>Structure sizing by trial and error:</t>
  </si>
  <si>
    <t>Select side slopes for structure:</t>
  </si>
  <si>
    <t>to 1 (interior)</t>
  </si>
  <si>
    <t>NOTE: 3:1 Side slopes are the minimum recommended interior side slopes for earthen structures.</t>
  </si>
  <si>
    <t>Trial #</t>
  </si>
  <si>
    <t>Bottom Length</t>
  </si>
  <si>
    <t>Bottom Width</t>
  </si>
  <si>
    <t>Depth</t>
  </si>
  <si>
    <t>Volume provided by this criteria in cubic feet</t>
  </si>
  <si>
    <t>this is</t>
  </si>
  <si>
    <t>cubic feet required</t>
  </si>
  <si>
    <t xml:space="preserve">feet for the selected bottom dimensions of </t>
  </si>
  <si>
    <t>feet wide</t>
  </si>
  <si>
    <t>SWCD's</t>
  </si>
  <si>
    <t>Appomattox River SWCD</t>
  </si>
  <si>
    <t>Big Walker SWCD</t>
  </si>
  <si>
    <t>Blue Ridge SWCD</t>
  </si>
  <si>
    <t>Clinch Valley SWCD</t>
  </si>
  <si>
    <t>Colonial SWCD</t>
  </si>
  <si>
    <t>Culpeper SWCD</t>
  </si>
  <si>
    <t>Daniel Boone SWCD</t>
  </si>
  <si>
    <t>Eastern Shore SWCD</t>
  </si>
  <si>
    <t>Evergreen SWCD</t>
  </si>
  <si>
    <t>Halifax SWCD</t>
  </si>
  <si>
    <t>Hanover-Caroline SWCD</t>
  </si>
  <si>
    <t>Headwaters SWCD</t>
  </si>
  <si>
    <t>Henricropolis SWCD</t>
  </si>
  <si>
    <t>Holston River SWCD</t>
  </si>
  <si>
    <t>J.R. Horsley SWCD</t>
  </si>
  <si>
    <t>James River SWCD</t>
  </si>
  <si>
    <t>John Marshall SWCD</t>
  </si>
  <si>
    <t>Lake Country SWCD</t>
  </si>
  <si>
    <t>Lonesome Pine SWCD</t>
  </si>
  <si>
    <t>Lord Fairfax SWCD</t>
  </si>
  <si>
    <t>Loudoun SWCD</t>
  </si>
  <si>
    <t>Monacan SWCD</t>
  </si>
  <si>
    <t>Mountain SWCD</t>
  </si>
  <si>
    <t>Mountain Castles SWCD</t>
  </si>
  <si>
    <t>Natural Bridge SWCD</t>
  </si>
  <si>
    <t>Natural Tunnel SWCD</t>
  </si>
  <si>
    <t>New River SWCD</t>
  </si>
  <si>
    <t>Northern Neck SWCD</t>
  </si>
  <si>
    <t>Northern Virginia SWCD</t>
  </si>
  <si>
    <t>Patrick SWCD</t>
  </si>
  <si>
    <t>Peaks of Otter SWCD</t>
  </si>
  <si>
    <t>Peanut SWCD</t>
  </si>
  <si>
    <t>Peter Franscisco SWCD</t>
  </si>
  <si>
    <t>Piedmont SWCD</t>
  </si>
  <si>
    <t>Pittsylvania SWCD</t>
  </si>
  <si>
    <t>Prince William SWCD</t>
  </si>
  <si>
    <t>Robert E. Lee SWCD</t>
  </si>
  <si>
    <t>Shenadoah Valley SWCD</t>
  </si>
  <si>
    <t>Skyline SWCD</t>
  </si>
  <si>
    <t>Southside SWCD</t>
  </si>
  <si>
    <t>Tazewell SWCD</t>
  </si>
  <si>
    <t>Thomas Jefferson SWCD</t>
  </si>
  <si>
    <t>Three Rivers SWCD</t>
  </si>
  <si>
    <t>Tidewater SWCD</t>
  </si>
  <si>
    <t>Tri-County SWCD</t>
  </si>
  <si>
    <t>Virginia Dare SWCD</t>
  </si>
  <si>
    <t xml:space="preserve"> % confinement:</t>
  </si>
  <si>
    <t>Number of Cows:</t>
  </si>
  <si>
    <t>Other   X</t>
  </si>
  <si>
    <t>Calves   X</t>
  </si>
  <si>
    <t>Cows   X</t>
  </si>
  <si>
    <t>Heifers   X</t>
  </si>
  <si>
    <t>square feet</t>
  </si>
  <si>
    <t>feet.</t>
  </si>
  <si>
    <t xml:space="preserve"> ft. diameter</t>
  </si>
  <si>
    <t>ft. needed for freeboard</t>
  </si>
  <si>
    <t>ft. needed for direct 25 yr. storm</t>
  </si>
  <si>
    <t>ft. needed for direct rainfall</t>
  </si>
  <si>
    <t>ft. needed for waste &amp; runoff</t>
  </si>
  <si>
    <t>Enter any additional volume that will be utilized as storage in the new system:</t>
  </si>
  <si>
    <r>
      <t>Note: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T</t>
    </r>
    <r>
      <rPr>
        <sz val="10"/>
        <rFont val="Arial"/>
      </rPr>
      <t>he depth selected in this step is not the final depth of the structure.</t>
    </r>
  </si>
  <si>
    <t>Total height needed =</t>
  </si>
  <si>
    <t>Total Depth (ft.):</t>
  </si>
  <si>
    <t>Top Width (ft.):</t>
  </si>
  <si>
    <t>Bottom Width (ft.):</t>
  </si>
  <si>
    <t>Top Length (ft.):</t>
  </si>
  <si>
    <t>Bottom Length (ft.):</t>
  </si>
  <si>
    <t>Choose a successful Trial # (1-4) from above:</t>
  </si>
  <si>
    <t>cubic feet to provide</t>
  </si>
  <si>
    <t xml:space="preserve"> days of storage</t>
  </si>
  <si>
    <t>Bottom Length (ft.) =</t>
  </si>
  <si>
    <t>Top Length (ft. )=</t>
  </si>
  <si>
    <t>Top Width (ft.) =</t>
  </si>
  <si>
    <t>Bottom Width (ft.) =</t>
  </si>
  <si>
    <t>feet long &amp;</t>
  </si>
  <si>
    <t>General information about these spreadsheets: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</si>
  <si>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</si>
  <si>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</si>
  <si>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</si>
  <si>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</si>
  <si>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</si>
  <si>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</si>
  <si>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</si>
  <si>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</si>
  <si>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</si>
  <si>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</si>
  <si>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Enter the tract and field numbers in the spaces provided.</t>
  </si>
  <si>
    <t>Enter the name of the person assisting the cooperator in the space provided.</t>
  </si>
  <si>
    <t>Select the appropriate conservation district from the pull-down list.</t>
  </si>
  <si>
    <t>Enter the service center name in the space provided.</t>
  </si>
  <si>
    <t>Enter the cooperator's name in the space provided.</t>
  </si>
  <si>
    <t>All areas highlighted in yellow on the spreadsheets are items that must be inputted.</t>
  </si>
  <si>
    <t>All areas highlighted in blue on the spreadsheets are items that have been calculated.</t>
  </si>
  <si>
    <t>11.</t>
  </si>
  <si>
    <t>25-year, 24-hour storm rainfall depth</t>
  </si>
  <si>
    <t>The sizing calculations performed on these spreadsheets are in accordance with Virginia Conservation Practice Standard 313 " Waste Storage Facility".</t>
  </si>
  <si>
    <t>days in the spaces provided.  The total number of days for each animal type must add up to equal the storage period entered in step 6 above.</t>
  </si>
  <si>
    <t>Enter the total number of cows, heifers, calves, or other with the corresponding average weights in the spaces provided.  Enter the % confinement and corresponding</t>
  </si>
  <si>
    <t>possible.</t>
  </si>
  <si>
    <t>Enter the bedding volume that can be expected during the storage period in the space provided.  This information should be obtained from the cooperator whenever</t>
  </si>
  <si>
    <t>12.</t>
  </si>
  <si>
    <t>Enter the 25-year, 24-hour storm rainfall depth in the space provided.  This information should be obtained from the Engineering Field Handbook, Chapter 2.</t>
  </si>
  <si>
    <t xml:space="preserve">Once all of the data in the above steps is entered, the spreadsheet will calculate the volume of waste.  This waste volume does not include direct rainfall on the </t>
  </si>
  <si>
    <t>proposed structure (this volume will be calculated in the following spreadsheets if designing a circular structure or an earthen pit).</t>
  </si>
  <si>
    <t>Make sure that all necessary data has been entered into the Structure Sizing Data spreadsheet (as described above) prior to entering any data into this spreadsheet.</t>
  </si>
  <si>
    <t>The cooperator, storage period, and waste total from the Structure Sizing Data spreadsheet will be automatically entered into this spreadsheet.</t>
  </si>
  <si>
    <t>Enter any additional storage volume that will be needed for the design of the structure in the space provided.</t>
  </si>
  <si>
    <t>The total volume of waste and runoff  to be stored in the proposed structure will be calculated based on the total waste volume from the Structure Sizing Data</t>
  </si>
  <si>
    <t>spreadsheet and the additional storage volume entered in step 3 above.</t>
  </si>
  <si>
    <t>Enter the diameter of the structure that you wish to install in the space provided.  The spreadsheet will then calculate the required height of the structure based on</t>
  </si>
  <si>
    <t>this diameter.  Change the diameter as necessary to obtain the combination of diameter and height that works best for the site.</t>
  </si>
  <si>
    <r>
      <t xml:space="preserve">feet of freeboard </t>
    </r>
    <r>
      <rPr>
        <b/>
        <sz val="10"/>
        <rFont val="Arial"/>
        <family val="2"/>
      </rPr>
      <t>(0.5' minimum)</t>
    </r>
  </si>
  <si>
    <t>The final dimensions of the structure will then be calculated based on the inputted information.</t>
  </si>
  <si>
    <t>Enter the waste storage period in the space provided.  The minimum storage period shall be a minimum of 120 days.</t>
  </si>
  <si>
    <t>Under the structure sizing by trial and error section, enter the bottom width, bottom length, and depth of the pit into the spaces provided.  There is room for 4</t>
  </si>
  <si>
    <t>required.</t>
  </si>
  <si>
    <t>Enter the trial that you would like to use for the final design into the space provided.</t>
  </si>
  <si>
    <t>Enter any additional freeboard required for the structure in the space provided (a minimum of 1 foot is required).</t>
  </si>
  <si>
    <t>Enter any additional freeboard required for the structure in the space provided.  A minimum of 6 inches (0.5 feet) is required.</t>
  </si>
  <si>
    <t>Instructions for using the "Structure Sizing Data" spreadsheet</t>
  </si>
  <si>
    <t>Instructions for using the "Circular Structure Sizing" spreadsheet</t>
  </si>
  <si>
    <t>Instructions for using the "Earthen Pit Sizing" spreadsheet</t>
  </si>
  <si>
    <t>These spreadsheets are intended to be used for dairy waste only.</t>
  </si>
  <si>
    <t>IV. Runoff:</t>
  </si>
  <si>
    <t>II. Wastewater Production:</t>
  </si>
  <si>
    <t>gallons per day</t>
  </si>
  <si>
    <t>1 cubic foot / 7.48 gallons</t>
  </si>
  <si>
    <t>Subtotal of I-IV</t>
  </si>
  <si>
    <t>13.</t>
  </si>
  <si>
    <t>Enter the amount of wastewater produced daily, and the number of days in the spaces provided.  This information should be obtained from the cooperator whenever</t>
  </si>
  <si>
    <t>Subtotal of I-IV from previous page:</t>
  </si>
  <si>
    <t>V. Direct Precipitation:</t>
  </si>
  <si>
    <t>VI. Direct Contribution by 25-year, 24-hour storm:</t>
  </si>
  <si>
    <t>VII. Freeboard</t>
  </si>
  <si>
    <t>Subtotal of I-IV from first page:</t>
  </si>
  <si>
    <t>different trials.  The spreadsheet will calculate the volume based on the information that was inputted, and will state whether it is less than or greater than the volume</t>
  </si>
  <si>
    <t>Enter bedding volume for the planned storage period here</t>
  </si>
  <si>
    <t>Enter feed waste volume for the planned storage period here</t>
  </si>
  <si>
    <t>Drainage area to structure (paved area)</t>
  </si>
  <si>
    <t>Total amount of runoff for paved area (less evaporation) over the entire storage period</t>
  </si>
  <si>
    <t>Total amount of runoff for unpaved area (less evaporation) over the entire storage period</t>
  </si>
  <si>
    <t>Drainage area to structure (unpaved area)</t>
  </si>
  <si>
    <t>Paved area:</t>
  </si>
  <si>
    <t>Unpaved area:</t>
  </si>
  <si>
    <t>25 year storm:</t>
  </si>
  <si>
    <t>" of rainfall depth</t>
  </si>
  <si>
    <t>" of runoff (less evaporation) for storage period</t>
  </si>
  <si>
    <t>Enter the feed waste volume that can be expected during the storage period in the space provided.  This information should be obtained from the cooperator</t>
  </si>
  <si>
    <t>whenever possible.</t>
  </si>
  <si>
    <t xml:space="preserve">Enter the drainage area and amount of runoff for all of the paved and unpaved areas draining to the structure in the spaces provided.  Historical rainfall data for the </t>
  </si>
  <si>
    <t>fill operation.</t>
  </si>
  <si>
    <t>Enter the side slope data for the pit in the space provided.  Side slopes should be no steeper than 3:1, except where compacted earth liners are part of an earthen</t>
  </si>
  <si>
    <t>lbs.</t>
  </si>
  <si>
    <t>cf/AU/day</t>
  </si>
  <si>
    <t>14.</t>
  </si>
  <si>
    <t>Data spreadsheet.</t>
  </si>
  <si>
    <t>The direct contribution from the 25-year, 24-hour storm will be automatically calculated based on the precipitation information inputted on the Structure Sizing</t>
  </si>
  <si>
    <t xml:space="preserve">   (less evaporation)</t>
  </si>
  <si>
    <t>Enter the direct rainfall on the structure during the storage period in the space provided.  Historical rainfall data for the area of the project should be used.</t>
  </si>
  <si>
    <t>Enter the volume of waste generated by each animal type in the spaces provided (this value can range anywhere from 1.30 to 1.39 c.f./AU/day). Consult the</t>
  </si>
  <si>
    <t>Area Engineer for guidance on these volume generations.</t>
  </si>
  <si>
    <t>Virginia NRCS Dairy Waste Structure Sizing Data Worksheet</t>
  </si>
  <si>
    <t>Virginia NRCS Dairy Waste Circular Structure Sizing Worksheet</t>
  </si>
  <si>
    <t>Virginia NRCS Dairy Waste Earthen Pit Sizing Worksheet</t>
  </si>
  <si>
    <t>III. Bedding &amp; Feed Waste:</t>
  </si>
  <si>
    <t>Bedding &amp; Feed Waste volumes should be obtained directly from cooperator where possible and entered above:</t>
  </si>
  <si>
    <t>(this value should be obtained directly from cooperator when possible)</t>
  </si>
  <si>
    <t>area of  the project should be used in correlation with table 2-2 in the Engineering Field Handbook to obtain the runoff amount.</t>
  </si>
  <si>
    <t xml:space="preserve">Total Volume of Structure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</si>
</sst>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"/>
  </numFmts>
  <fonts count="18" x14ac:knownFonts="1">
    <font>
      <sz val="10"/>
      <name val="Arial"/>
    </font>
    <font>
      <sz val="10"/>
      <name val="Arial"/>
    </font>
    <font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8"/>
      <name val="Arial"/>
    </font>
    <font>
      <b/>
      <u/>
      <sz val="12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14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0"/>
      <color indexed="10"/>
      <name val="Arial"/>
      <family val="2"/>
    </font>
    <font>
      <sz val="14"/>
      <name val="Arial"/>
    </font>
    <font>
      <sz val="11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3" fontId="0" fillId="3" borderId="1" xfId="0" applyNumberFormat="1" applyFill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horizontal="center" vertical="center"/>
      <protection hidden="1"/>
    </xf>
    <xf numFmtId="0" fontId="0" fillId="2" borderId="0" xfId="0" applyFill="1" applyBorder="1" applyAlignment="1" applyProtection="1">
      <alignment horizontal="center" vertical="center"/>
      <protection hidden="1"/>
    </xf>
    <xf numFmtId="3" fontId="0" fillId="2" borderId="0" xfId="0" applyNumberFormat="1" applyFill="1" applyBorder="1" applyAlignment="1" applyProtection="1">
      <alignment vertical="center"/>
      <protection hidden="1"/>
    </xf>
    <xf numFmtId="3" fontId="0" fillId="2" borderId="0" xfId="0" applyNumberFormat="1" applyFill="1" applyBorder="1" applyAlignment="1" applyProtection="1">
      <alignment horizontal="center" vertical="center"/>
      <protection hidden="1"/>
    </xf>
    <xf numFmtId="3" fontId="4" fillId="4" borderId="1" xfId="0" applyNumberFormat="1" applyFont="1" applyFill="1" applyBorder="1" applyAlignment="1" applyProtection="1">
      <alignment vertical="center"/>
      <protection hidden="1"/>
    </xf>
    <xf numFmtId="3" fontId="4" fillId="2" borderId="0" xfId="0" applyNumberFormat="1" applyFont="1" applyFill="1" applyBorder="1" applyAlignment="1" applyProtection="1">
      <alignment vertical="center"/>
      <protection hidden="1"/>
    </xf>
    <xf numFmtId="3" fontId="0" fillId="3" borderId="0" xfId="0" applyNumberForma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Fill="1" applyBorder="1" applyAlignment="1" applyProtection="1">
      <alignment vertical="center"/>
      <protection hidden="1"/>
    </xf>
    <xf numFmtId="0" fontId="0" fillId="3" borderId="0" xfId="0" applyFill="1" applyBorder="1" applyAlignment="1" applyProtection="1">
      <alignment vertical="center"/>
      <protection locked="0"/>
    </xf>
    <xf numFmtId="4" fontId="0" fillId="2" borderId="0" xfId="0" applyNumberFormat="1" applyFill="1" applyBorder="1" applyAlignment="1" applyProtection="1">
      <alignment vertical="center"/>
      <protection hidden="1"/>
    </xf>
    <xf numFmtId="2" fontId="0" fillId="2" borderId="0" xfId="0" applyNumberFormat="1" applyFill="1" applyBorder="1" applyAlignment="1" applyProtection="1">
      <alignment horizontal="right" vertical="center"/>
      <protection hidden="1"/>
    </xf>
    <xf numFmtId="0" fontId="4" fillId="2" borderId="0" xfId="0" applyFont="1" applyFill="1" applyBorder="1" applyAlignment="1" applyProtection="1">
      <alignment vertical="center"/>
      <protection hidden="1"/>
    </xf>
    <xf numFmtId="0" fontId="2" fillId="4" borderId="0" xfId="0" applyFont="1" applyFill="1" applyBorder="1" applyAlignment="1" applyProtection="1">
      <alignment horizontal="center" vertical="center"/>
      <protection hidden="1"/>
    </xf>
    <xf numFmtId="3" fontId="2" fillId="4" borderId="0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 applyBorder="1" applyAlignment="1" applyProtection="1">
      <alignment vertical="center"/>
      <protection hidden="1"/>
    </xf>
    <xf numFmtId="4" fontId="0" fillId="2" borderId="0" xfId="0" applyNumberFormat="1" applyFill="1" applyBorder="1" applyAlignment="1" applyProtection="1">
      <alignment horizontal="right" vertical="center"/>
      <protection hidden="1"/>
    </xf>
    <xf numFmtId="2" fontId="0" fillId="0" borderId="0" xfId="0" applyNumberFormat="1" applyBorder="1" applyAlignment="1" applyProtection="1">
      <alignment vertic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1" fontId="0" fillId="0" borderId="0" xfId="0" applyNumberFormat="1" applyBorder="1" applyAlignment="1" applyProtection="1">
      <alignment vertical="center"/>
      <protection hidden="1"/>
    </xf>
    <xf numFmtId="0" fontId="0" fillId="0" borderId="0" xfId="0" applyBorder="1" applyAlignment="1" applyProtection="1">
      <alignment horizontal="right" vertical="center"/>
      <protection locked="0"/>
    </xf>
    <xf numFmtId="3" fontId="0" fillId="3" borderId="0" xfId="0" applyNumberFormat="1" applyFill="1" applyBorder="1" applyAlignment="1" applyProtection="1">
      <alignment vertical="center"/>
      <protection locked="0"/>
    </xf>
    <xf numFmtId="2" fontId="0" fillId="3" borderId="0" xfId="0" applyNumberFormat="1" applyFill="1" applyBorder="1" applyAlignment="1" applyProtection="1">
      <alignment horizontal="center" vertical="center"/>
      <protection locked="0"/>
    </xf>
    <xf numFmtId="1" fontId="3" fillId="3" borderId="0" xfId="0" applyNumberFormat="1" applyFont="1" applyFill="1" applyBorder="1" applyAlignment="1" applyProtection="1">
      <alignment horizontal="center" vertical="center"/>
      <protection locked="0"/>
    </xf>
    <xf numFmtId="4" fontId="0" fillId="2" borderId="0" xfId="0" applyNumberFormat="1" applyFill="1" applyAlignment="1" applyProtection="1">
      <alignment horizontal="right" vertical="center"/>
      <protection hidden="1"/>
    </xf>
    <xf numFmtId="0" fontId="0" fillId="2" borderId="3" xfId="0" applyFill="1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2" fontId="0" fillId="2" borderId="0" xfId="0" applyNumberFormat="1" applyFill="1" applyBorder="1" applyAlignment="1" applyProtection="1">
      <alignment horizontal="center" vertical="center"/>
      <protection hidden="1"/>
    </xf>
    <xf numFmtId="165" fontId="2" fillId="4" borderId="0" xfId="0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1" fillId="2" borderId="0" xfId="0" applyFont="1" applyFill="1" applyBorder="1" applyAlignment="1" applyProtection="1">
      <alignment horizontal="center" vertical="center"/>
      <protection hidden="1"/>
    </xf>
    <xf numFmtId="165" fontId="0" fillId="2" borderId="0" xfId="0" applyNumberFormat="1" applyFill="1" applyBorder="1" applyAlignment="1" applyProtection="1">
      <alignment horizontal="center" vertical="center"/>
      <protection hidden="1"/>
    </xf>
    <xf numFmtId="164" fontId="0" fillId="2" borderId="0" xfId="0" applyNumberFormat="1" applyFill="1" applyAlignment="1" applyProtection="1">
      <alignment horizontal="center" vertical="center"/>
      <protection hidden="1"/>
    </xf>
    <xf numFmtId="165" fontId="2" fillId="4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0" fillId="0" borderId="0" xfId="0" applyNumberFormat="1" applyAlignment="1">
      <alignment horizontal="right" vertical="center"/>
    </xf>
    <xf numFmtId="0" fontId="10" fillId="0" borderId="0" xfId="0" applyFont="1" applyAlignment="1">
      <alignment vertical="center"/>
    </xf>
    <xf numFmtId="0" fontId="0" fillId="5" borderId="0" xfId="0" applyFill="1" applyBorder="1" applyAlignment="1" applyProtection="1">
      <alignment vertical="center"/>
    </xf>
    <xf numFmtId="3" fontId="0" fillId="0" borderId="0" xfId="0" applyNumberFormat="1" applyFill="1" applyBorder="1" applyAlignment="1" applyProtection="1">
      <alignment horizontal="center" vertical="center"/>
      <protection hidden="1"/>
    </xf>
    <xf numFmtId="164" fontId="0" fillId="0" borderId="0" xfId="0" applyNumberFormat="1" applyFill="1" applyBorder="1" applyAlignment="1" applyProtection="1">
      <alignment vertical="center"/>
      <protection hidden="1"/>
    </xf>
    <xf numFmtId="3" fontId="0" fillId="0" borderId="0" xfId="0" applyNumberFormat="1" applyFill="1" applyBorder="1" applyAlignment="1" applyProtection="1">
      <alignment vertical="center"/>
      <protection hidden="1"/>
    </xf>
    <xf numFmtId="3" fontId="0" fillId="2" borderId="4" xfId="0" applyNumberFormat="1" applyFill="1" applyBorder="1" applyAlignment="1" applyProtection="1">
      <alignment vertical="center"/>
      <protection hidden="1"/>
    </xf>
    <xf numFmtId="0" fontId="0" fillId="3" borderId="0" xfId="0" applyFill="1" applyBorder="1" applyProtection="1">
      <protection locked="0"/>
    </xf>
    <xf numFmtId="4" fontId="0" fillId="3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3" xfId="0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Protection="1"/>
    <xf numFmtId="0" fontId="0" fillId="0" borderId="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14" fontId="0" fillId="6" borderId="1" xfId="0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right" vertical="center"/>
    </xf>
    <xf numFmtId="0" fontId="0" fillId="5" borderId="0" xfId="0" applyFill="1" applyBorder="1" applyAlignment="1" applyProtection="1">
      <alignment horizontal="right" vertical="center"/>
    </xf>
    <xf numFmtId="0" fontId="0" fillId="0" borderId="0" xfId="0" applyBorder="1" applyProtection="1"/>
    <xf numFmtId="0" fontId="0" fillId="0" borderId="3" xfId="0" applyBorder="1" applyProtection="1"/>
    <xf numFmtId="3" fontId="0" fillId="0" borderId="0" xfId="0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left" vertical="center"/>
    </xf>
    <xf numFmtId="164" fontId="0" fillId="0" borderId="0" xfId="0" applyNumberFormat="1" applyFill="1" applyBorder="1" applyAlignment="1" applyProtection="1">
      <alignment horizontal="center" vertical="center"/>
    </xf>
    <xf numFmtId="164" fontId="0" fillId="0" borderId="0" xfId="0" applyNumberFormat="1" applyFill="1" applyBorder="1" applyAlignment="1" applyProtection="1">
      <alignment vertical="center"/>
    </xf>
    <xf numFmtId="164" fontId="0" fillId="0" borderId="6" xfId="0" applyNumberFormat="1" applyFill="1" applyBorder="1" applyAlignment="1" applyProtection="1">
      <alignment vertical="center"/>
    </xf>
    <xf numFmtId="0" fontId="3" fillId="0" borderId="3" xfId="0" applyFont="1" applyBorder="1" applyAlignment="1" applyProtection="1">
      <alignment vertical="center"/>
    </xf>
    <xf numFmtId="0" fontId="0" fillId="5" borderId="0" xfId="0" applyFill="1" applyBorder="1" applyAlignment="1" applyProtection="1">
      <alignment horizontal="center" vertical="center"/>
    </xf>
    <xf numFmtId="0" fontId="0" fillId="0" borderId="0" xfId="0" quotePrefix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164" fontId="13" fillId="0" borderId="0" xfId="0" applyNumberFormat="1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vertical="center"/>
    </xf>
    <xf numFmtId="3" fontId="0" fillId="0" borderId="3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Continuous" vertical="center"/>
    </xf>
    <xf numFmtId="3" fontId="0" fillId="2" borderId="0" xfId="0" applyNumberFormat="1" applyFill="1" applyBorder="1" applyAlignment="1" applyProtection="1">
      <alignment horizontal="right" vertical="center"/>
    </xf>
    <xf numFmtId="0" fontId="0" fillId="5" borderId="0" xfId="0" quotePrefix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vertical="center"/>
    </xf>
    <xf numFmtId="0" fontId="0" fillId="0" borderId="1" xfId="0" applyBorder="1" applyAlignment="1" applyProtection="1">
      <alignment vertical="center"/>
    </xf>
    <xf numFmtId="0" fontId="11" fillId="0" borderId="1" xfId="0" applyFont="1" applyBorder="1" applyAlignment="1" applyProtection="1">
      <alignment horizontal="center" vertical="center"/>
    </xf>
    <xf numFmtId="1" fontId="5" fillId="0" borderId="8" xfId="0" applyNumberFormat="1" applyFont="1" applyBorder="1" applyAlignment="1" applyProtection="1">
      <alignment horizontal="left" vertical="center"/>
    </xf>
    <xf numFmtId="0" fontId="3" fillId="0" borderId="0" xfId="0" applyFont="1" applyProtection="1"/>
    <xf numFmtId="0" fontId="2" fillId="0" borderId="0" xfId="0" applyFont="1" applyProtection="1"/>
    <xf numFmtId="0" fontId="0" fillId="6" borderId="9" xfId="0" applyFill="1" applyBorder="1" applyAlignment="1" applyProtection="1">
      <alignment vertical="center"/>
    </xf>
    <xf numFmtId="0" fontId="4" fillId="5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4" fillId="0" borderId="3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5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0" borderId="5" xfId="0" applyFont="1" applyBorder="1" applyAlignment="1" applyProtection="1">
      <alignment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right" vertical="center"/>
    </xf>
    <xf numFmtId="1" fontId="0" fillId="0" borderId="0" xfId="0" quotePrefix="1" applyNumberForma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 wrapText="1"/>
    </xf>
    <xf numFmtId="0" fontId="0" fillId="0" borderId="8" xfId="0" applyBorder="1" applyAlignment="1" applyProtection="1">
      <alignment vertical="center"/>
    </xf>
    <xf numFmtId="0" fontId="0" fillId="6" borderId="6" xfId="0" applyFill="1" applyBorder="1" applyAlignment="1" applyProtection="1">
      <alignment vertical="center"/>
    </xf>
    <xf numFmtId="1" fontId="4" fillId="5" borderId="0" xfId="0" applyNumberFormat="1" applyFont="1" applyFill="1" applyBorder="1" applyAlignment="1" applyProtection="1">
      <alignment horizontal="right" vertical="center"/>
    </xf>
    <xf numFmtId="0" fontId="4" fillId="5" borderId="0" xfId="0" applyFont="1" applyFill="1" applyBorder="1" applyAlignment="1" applyProtection="1">
      <alignment horizontal="right" vertical="center"/>
    </xf>
    <xf numFmtId="0" fontId="7" fillId="0" borderId="3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17" fillId="0" borderId="0" xfId="0" applyFont="1" applyBorder="1" applyAlignment="1" applyProtection="1">
      <alignment horizontal="lef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3" xfId="0" applyFont="1" applyBorder="1" applyAlignment="1" applyProtection="1">
      <alignment horizontal="left" vertical="center"/>
    </xf>
    <xf numFmtId="0" fontId="0" fillId="5" borderId="0" xfId="0" applyFill="1" applyAlignment="1" applyProtection="1">
      <alignment horizontal="left" vertical="center"/>
    </xf>
    <xf numFmtId="0" fontId="8" fillId="0" borderId="3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1" fontId="8" fillId="5" borderId="0" xfId="0" applyNumberFormat="1" applyFont="1" applyFill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Continuous" vertical="center"/>
    </xf>
    <xf numFmtId="0" fontId="0" fillId="0" borderId="0" xfId="0" applyAlignment="1" applyProtection="1">
      <alignment horizontal="centerContinuous" vertical="center"/>
    </xf>
    <xf numFmtId="164" fontId="3" fillId="0" borderId="0" xfId="0" applyNumberFormat="1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left" vertical="center"/>
    </xf>
    <xf numFmtId="2" fontId="0" fillId="0" borderId="0" xfId="0" applyNumberForma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Continuous" vertical="center"/>
    </xf>
    <xf numFmtId="1" fontId="0" fillId="0" borderId="0" xfId="0" applyNumberFormat="1" applyFill="1" applyBorder="1" applyAlignment="1" applyProtection="1">
      <alignment vertical="center"/>
    </xf>
    <xf numFmtId="2" fontId="0" fillId="5" borderId="0" xfId="0" applyNumberFormat="1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4" fontId="3" fillId="0" borderId="0" xfId="0" applyNumberFormat="1" applyFont="1" applyFill="1" applyBorder="1" applyAlignment="1" applyProtection="1">
      <alignment horizontal="centerContinuous" vertical="center"/>
    </xf>
    <xf numFmtId="0" fontId="10" fillId="0" borderId="0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vertical="center"/>
    </xf>
    <xf numFmtId="2" fontId="0" fillId="5" borderId="5" xfId="0" applyNumberFormat="1" applyFill="1" applyBorder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0" borderId="11" xfId="0" applyBorder="1" applyAlignment="1" applyProtection="1">
      <alignment vertical="center"/>
    </xf>
    <xf numFmtId="0" fontId="0" fillId="0" borderId="12" xfId="0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3" fillId="0" borderId="0" xfId="0" applyFont="1" applyBorder="1" applyAlignment="1" applyProtection="1">
      <alignment horizontal="right" vertical="center"/>
    </xf>
    <xf numFmtId="0" fontId="0" fillId="0" borderId="14" xfId="0" applyBorder="1" applyAlignment="1" applyProtection="1">
      <alignment vertical="center"/>
    </xf>
    <xf numFmtId="0" fontId="0" fillId="0" borderId="15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0" fontId="11" fillId="0" borderId="0" xfId="0" applyFont="1" applyBorder="1" applyAlignment="1" applyProtection="1">
      <alignment horizontal="left" vertical="center"/>
    </xf>
    <xf numFmtId="0" fontId="16" fillId="0" borderId="0" xfId="0" applyFont="1" applyAlignment="1" applyProtection="1">
      <alignment horizontal="right" vertical="center"/>
    </xf>
    <xf numFmtId="1" fontId="2" fillId="0" borderId="0" xfId="0" applyNumberFormat="1" applyFont="1" applyFill="1" applyBorder="1" applyAlignment="1" applyProtection="1">
      <alignment horizontal="right" vertical="center"/>
    </xf>
    <xf numFmtId="3" fontId="2" fillId="0" borderId="0" xfId="0" applyNumberFormat="1" applyFont="1" applyFill="1" applyBorder="1" applyAlignment="1" applyProtection="1">
      <alignment horizontal="center" vertical="center"/>
    </xf>
    <xf numFmtId="3" fontId="12" fillId="0" borderId="0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vertical="center"/>
    </xf>
    <xf numFmtId="164" fontId="2" fillId="5" borderId="0" xfId="0" applyNumberFormat="1" applyFont="1" applyFill="1" applyBorder="1" applyAlignment="1" applyProtection="1">
      <alignment horizontal="right" vertical="center"/>
    </xf>
    <xf numFmtId="164" fontId="2" fillId="0" borderId="0" xfId="0" applyNumberFormat="1" applyFont="1" applyFill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vertical="center"/>
    </xf>
    <xf numFmtId="164" fontId="0" fillId="0" borderId="0" xfId="0" applyNumberFormat="1" applyBorder="1" applyAlignment="1" applyProtection="1">
      <alignment horizontal="right" vertical="center"/>
    </xf>
    <xf numFmtId="164" fontId="0" fillId="0" borderId="0" xfId="0" applyNumberFormat="1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1" fontId="0" fillId="0" borderId="0" xfId="0" applyNumberFormat="1" applyBorder="1" applyAlignment="1" applyProtection="1">
      <alignment horizontal="center" vertical="center"/>
    </xf>
    <xf numFmtId="1" fontId="0" fillId="0" borderId="0" xfId="0" quotePrefix="1" applyNumberForma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 wrapText="1"/>
    </xf>
    <xf numFmtId="0" fontId="14" fillId="0" borderId="0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right" vertical="center"/>
    </xf>
    <xf numFmtId="0" fontId="0" fillId="0" borderId="0" xfId="0" applyProtection="1">
      <protection locked="0"/>
    </xf>
    <xf numFmtId="0" fontId="16" fillId="0" borderId="0" xfId="0" applyFont="1" applyBorder="1" applyAlignment="1" applyProtection="1">
      <alignment horizontal="right" vertical="center"/>
    </xf>
    <xf numFmtId="0" fontId="16" fillId="0" borderId="0" xfId="0" applyFont="1" applyBorder="1" applyAlignment="1" applyProtection="1">
      <alignment vertical="center"/>
    </xf>
    <xf numFmtId="2" fontId="2" fillId="4" borderId="0" xfId="0" applyNumberFormat="1" applyFont="1" applyFill="1" applyBorder="1" applyAlignment="1" applyProtection="1">
      <alignment horizontal="center" vertical="center"/>
      <protection hidden="1"/>
    </xf>
    <xf numFmtId="2" fontId="0" fillId="3" borderId="1" xfId="0" applyNumberFormat="1" applyFill="1" applyBorder="1" applyAlignment="1" applyProtection="1">
      <alignment vertical="center"/>
      <protection locked="0"/>
    </xf>
    <xf numFmtId="2" fontId="0" fillId="2" borderId="0" xfId="0" applyNumberFormat="1" applyFill="1" applyBorder="1" applyAlignment="1" applyProtection="1">
      <alignment vertical="center"/>
      <protection hidden="1"/>
    </xf>
    <xf numFmtId="0" fontId="2" fillId="6" borderId="18" xfId="0" applyFont="1" applyFill="1" applyBorder="1" applyAlignment="1" applyProtection="1">
      <alignment horizontal="center" vertical="center"/>
    </xf>
    <xf numFmtId="0" fontId="0" fillId="0" borderId="6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0" fillId="5" borderId="0" xfId="0" applyFill="1" applyBorder="1" applyAlignment="1" applyProtection="1">
      <alignment horizontal="left" vertical="center"/>
    </xf>
    <xf numFmtId="0" fontId="0" fillId="5" borderId="0" xfId="0" applyFill="1" applyBorder="1" applyAlignment="1" applyProtection="1">
      <alignment vertical="center"/>
    </xf>
    <xf numFmtId="0" fontId="0" fillId="0" borderId="3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15" fillId="0" borderId="0" xfId="0" applyFont="1" applyBorder="1" applyAlignment="1" applyProtection="1">
      <alignment horizontal="center" vertical="center" wrapText="1"/>
    </xf>
    <xf numFmtId="0" fontId="15" fillId="0" borderId="5" xfId="0" applyFont="1" applyBorder="1" applyAlignment="1" applyProtection="1">
      <alignment horizontal="center" vertical="center" wrapText="1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 applyProtection="1"/>
    <xf numFmtId="0" fontId="0" fillId="0" borderId="5" xfId="0" applyBorder="1" applyProtection="1"/>
    <xf numFmtId="0" fontId="3" fillId="0" borderId="3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0" applyFont="1" applyBorder="1" applyAlignment="1" applyProtection="1">
      <alignment vertical="center"/>
    </xf>
    <xf numFmtId="3" fontId="2" fillId="4" borderId="0" xfId="0" applyNumberFormat="1" applyFont="1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vertical="center" wrapText="1"/>
    </xf>
    <xf numFmtId="0" fontId="0" fillId="0" borderId="0" xfId="0" applyAlignment="1">
      <alignment vertical="center"/>
    </xf>
    <xf numFmtId="0" fontId="0" fillId="2" borderId="0" xfId="0" applyFill="1" applyBorder="1" applyAlignment="1" applyProtection="1">
      <alignment vertical="center"/>
      <protection hidden="1"/>
    </xf>
    <xf numFmtId="0" fontId="0" fillId="2" borderId="0" xfId="0" applyFill="1" applyBorder="1" applyAlignment="1" applyProtection="1">
      <alignment horizontal="center" vertical="center"/>
      <protection hidden="1"/>
    </xf>
    <xf numFmtId="0" fontId="4" fillId="5" borderId="3" xfId="0" applyFont="1" applyFill="1" applyBorder="1" applyAlignment="1" applyProtection="1">
      <alignment vertical="center"/>
    </xf>
    <xf numFmtId="0" fontId="4" fillId="5" borderId="0" xfId="0" applyFont="1" applyFill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3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4" fontId="4" fillId="2" borderId="0" xfId="0" applyNumberFormat="1" applyFont="1" applyFill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right" vertical="center"/>
    </xf>
    <xf numFmtId="3" fontId="2" fillId="4" borderId="0" xfId="0" applyNumberFormat="1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3" fontId="16" fillId="4" borderId="0" xfId="0" applyNumberFormat="1" applyFont="1" applyFill="1" applyBorder="1" applyAlignment="1" applyProtection="1">
      <alignment horizontal="center" vertical="center"/>
      <protection hidden="1"/>
    </xf>
    <xf numFmtId="3" fontId="4" fillId="2" borderId="0" xfId="0" applyNumberFormat="1" applyFont="1" applyFill="1" applyBorder="1" applyAlignment="1" applyProtection="1">
      <alignment horizontal="right" vertical="center"/>
      <protection hidden="1"/>
    </xf>
    <xf numFmtId="3" fontId="4" fillId="2" borderId="0" xfId="0" applyNumberFormat="1" applyFont="1" applyFill="1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3" fontId="3" fillId="2" borderId="0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Border="1" applyAlignment="1" applyProtection="1">
      <alignment horizontal="left" vertical="center"/>
    </xf>
    <xf numFmtId="2" fontId="11" fillId="2" borderId="0" xfId="0" applyNumberFormat="1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R4" fmlaRange="Tables!$B$2:$B$48" noThreeD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29</xdr:row>
      <xdr:rowOff>47625</xdr:rowOff>
    </xdr:from>
    <xdr:to>
      <xdr:col>1</xdr:col>
      <xdr:colOff>571500</xdr:colOff>
      <xdr:row>33</xdr:row>
      <xdr:rowOff>123825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52400" y="3686175"/>
          <a:ext cx="1085850" cy="495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Refer to Table 2-2 in the Engineering Field Handbook</a:t>
          </a:r>
        </a:p>
      </xdr:txBody>
    </xdr:sp>
    <xdr:clientData/>
  </xdr:twoCellAnchor>
  <xdr:twoCellAnchor>
    <xdr:from>
      <xdr:col>1</xdr:col>
      <xdr:colOff>571500</xdr:colOff>
      <xdr:row>29</xdr:row>
      <xdr:rowOff>85725</xdr:rowOff>
    </xdr:from>
    <xdr:to>
      <xdr:col>3</xdr:col>
      <xdr:colOff>400050</xdr:colOff>
      <xdr:row>31</xdr:row>
      <xdr:rowOff>85725</xdr:rowOff>
    </xdr:to>
    <xdr:sp macro="" textlink="">
      <xdr:nvSpPr>
        <xdr:cNvPr id="1040" name="Line 13"/>
        <xdr:cNvSpPr>
          <a:spLocks noChangeShapeType="1"/>
        </xdr:cNvSpPr>
      </xdr:nvSpPr>
      <xdr:spPr bwMode="auto">
        <a:xfrm flipV="1">
          <a:off x="1238250" y="3724275"/>
          <a:ext cx="1190625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571500</xdr:colOff>
      <xdr:row>31</xdr:row>
      <xdr:rowOff>95250</xdr:rowOff>
    </xdr:from>
    <xdr:to>
      <xdr:col>3</xdr:col>
      <xdr:colOff>266700</xdr:colOff>
      <xdr:row>33</xdr:row>
      <xdr:rowOff>66675</xdr:rowOff>
    </xdr:to>
    <xdr:sp macro="" textlink="">
      <xdr:nvSpPr>
        <xdr:cNvPr id="1041" name="Line 14"/>
        <xdr:cNvSpPr>
          <a:spLocks noChangeShapeType="1"/>
        </xdr:cNvSpPr>
      </xdr:nvSpPr>
      <xdr:spPr bwMode="auto">
        <a:xfrm>
          <a:off x="1238250" y="3943350"/>
          <a:ext cx="10572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76200</xdr:rowOff>
        </xdr:from>
        <xdr:to>
          <xdr:col>5</xdr:col>
          <xdr:colOff>200025</xdr:colOff>
          <xdr:row>5</xdr:row>
          <xdr:rowOff>28575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733425</xdr:colOff>
      <xdr:row>33</xdr:row>
      <xdr:rowOff>85725</xdr:rowOff>
    </xdr:from>
    <xdr:to>
      <xdr:col>5</xdr:col>
      <xdr:colOff>714375</xdr:colOff>
      <xdr:row>40</xdr:row>
      <xdr:rowOff>47625</xdr:rowOff>
    </xdr:to>
    <xdr:sp macro="" textlink="">
      <xdr:nvSpPr>
        <xdr:cNvPr id="4138" name="Oval 1"/>
        <xdr:cNvSpPr>
          <a:spLocks noChangeArrowheads="1"/>
        </xdr:cNvSpPr>
      </xdr:nvSpPr>
      <xdr:spPr bwMode="auto">
        <a:xfrm>
          <a:off x="2562225" y="5362575"/>
          <a:ext cx="1000125" cy="1028700"/>
        </a:xfrm>
        <a:prstGeom prst="ellipse">
          <a:avLst/>
        </a:prstGeom>
        <a:solidFill>
          <a:srgbClr val="FFFFFF"/>
        </a:solidFill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238125</xdr:colOff>
      <xdr:row>33</xdr:row>
      <xdr:rowOff>76200</xdr:rowOff>
    </xdr:from>
    <xdr:to>
      <xdr:col>7</xdr:col>
      <xdr:colOff>238125</xdr:colOff>
      <xdr:row>40</xdr:row>
      <xdr:rowOff>47625</xdr:rowOff>
    </xdr:to>
    <xdr:sp macro="" textlink="">
      <xdr:nvSpPr>
        <xdr:cNvPr id="4139" name="Line 3"/>
        <xdr:cNvSpPr>
          <a:spLocks noChangeShapeType="1"/>
        </xdr:cNvSpPr>
      </xdr:nvSpPr>
      <xdr:spPr bwMode="auto">
        <a:xfrm>
          <a:off x="4305300" y="5353050"/>
          <a:ext cx="0" cy="10382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504825</xdr:colOff>
      <xdr:row>33</xdr:row>
      <xdr:rowOff>66675</xdr:rowOff>
    </xdr:from>
    <xdr:to>
      <xdr:col>8</xdr:col>
      <xdr:colOff>504825</xdr:colOff>
      <xdr:row>40</xdr:row>
      <xdr:rowOff>47625</xdr:rowOff>
    </xdr:to>
    <xdr:sp macro="" textlink="">
      <xdr:nvSpPr>
        <xdr:cNvPr id="4140" name="Line 6"/>
        <xdr:cNvSpPr>
          <a:spLocks noChangeShapeType="1"/>
        </xdr:cNvSpPr>
      </xdr:nvSpPr>
      <xdr:spPr bwMode="auto">
        <a:xfrm>
          <a:off x="5362575" y="5343525"/>
          <a:ext cx="0" cy="10477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238125</xdr:colOff>
      <xdr:row>40</xdr:row>
      <xdr:rowOff>47625</xdr:rowOff>
    </xdr:from>
    <xdr:to>
      <xdr:col>8</xdr:col>
      <xdr:colOff>504825</xdr:colOff>
      <xdr:row>40</xdr:row>
      <xdr:rowOff>47625</xdr:rowOff>
    </xdr:to>
    <xdr:sp macro="" textlink="">
      <xdr:nvSpPr>
        <xdr:cNvPr id="4141" name="Line 7"/>
        <xdr:cNvSpPr>
          <a:spLocks noChangeShapeType="1"/>
        </xdr:cNvSpPr>
      </xdr:nvSpPr>
      <xdr:spPr bwMode="auto">
        <a:xfrm flipV="1">
          <a:off x="4305300" y="6391275"/>
          <a:ext cx="1057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33</xdr:row>
      <xdr:rowOff>76200</xdr:rowOff>
    </xdr:from>
    <xdr:to>
      <xdr:col>4</xdr:col>
      <xdr:colOff>0</xdr:colOff>
      <xdr:row>33</xdr:row>
      <xdr:rowOff>76200</xdr:rowOff>
    </xdr:to>
    <xdr:sp macro="" textlink="">
      <xdr:nvSpPr>
        <xdr:cNvPr id="4142" name="Line 10"/>
        <xdr:cNvSpPr>
          <a:spLocks noChangeShapeType="1"/>
        </xdr:cNvSpPr>
      </xdr:nvSpPr>
      <xdr:spPr bwMode="auto">
        <a:xfrm flipH="1">
          <a:off x="1828800" y="5353050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40</xdr:row>
      <xdr:rowOff>47625</xdr:rowOff>
    </xdr:from>
    <xdr:to>
      <xdr:col>4</xdr:col>
      <xdr:colOff>0</xdr:colOff>
      <xdr:row>40</xdr:row>
      <xdr:rowOff>47625</xdr:rowOff>
    </xdr:to>
    <xdr:sp macro="" textlink="">
      <xdr:nvSpPr>
        <xdr:cNvPr id="4143" name="Line 11"/>
        <xdr:cNvSpPr>
          <a:spLocks noChangeShapeType="1"/>
        </xdr:cNvSpPr>
      </xdr:nvSpPr>
      <xdr:spPr bwMode="auto">
        <a:xfrm flipH="1">
          <a:off x="1828800" y="6391275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37</xdr:row>
      <xdr:rowOff>0</xdr:rowOff>
    </xdr:from>
    <xdr:to>
      <xdr:col>3</xdr:col>
      <xdr:colOff>76200</xdr:colOff>
      <xdr:row>40</xdr:row>
      <xdr:rowOff>47625</xdr:rowOff>
    </xdr:to>
    <xdr:sp macro="" textlink="">
      <xdr:nvSpPr>
        <xdr:cNvPr id="4144" name="Line 13"/>
        <xdr:cNvSpPr>
          <a:spLocks noChangeShapeType="1"/>
        </xdr:cNvSpPr>
      </xdr:nvSpPr>
      <xdr:spPr bwMode="auto">
        <a:xfrm>
          <a:off x="1905000" y="5886450"/>
          <a:ext cx="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33</xdr:row>
      <xdr:rowOff>76200</xdr:rowOff>
    </xdr:from>
    <xdr:to>
      <xdr:col>3</xdr:col>
      <xdr:colOff>76200</xdr:colOff>
      <xdr:row>37</xdr:row>
      <xdr:rowOff>0</xdr:rowOff>
    </xdr:to>
    <xdr:sp macro="" textlink="">
      <xdr:nvSpPr>
        <xdr:cNvPr id="4145" name="Line 16"/>
        <xdr:cNvSpPr>
          <a:spLocks noChangeShapeType="1"/>
        </xdr:cNvSpPr>
      </xdr:nvSpPr>
      <xdr:spPr bwMode="auto">
        <a:xfrm flipV="1">
          <a:off x="1905000" y="5353050"/>
          <a:ext cx="0" cy="533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36</xdr:row>
      <xdr:rowOff>85725</xdr:rowOff>
    </xdr:from>
    <xdr:to>
      <xdr:col>3</xdr:col>
      <xdr:colOff>76200</xdr:colOff>
      <xdr:row>36</xdr:row>
      <xdr:rowOff>85725</xdr:rowOff>
    </xdr:to>
    <xdr:sp macro="" textlink="">
      <xdr:nvSpPr>
        <xdr:cNvPr id="4146" name="Line 17"/>
        <xdr:cNvSpPr>
          <a:spLocks noChangeShapeType="1"/>
        </xdr:cNvSpPr>
      </xdr:nvSpPr>
      <xdr:spPr bwMode="auto">
        <a:xfrm>
          <a:off x="1333500" y="58197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238125</xdr:colOff>
      <xdr:row>38</xdr:row>
      <xdr:rowOff>0</xdr:rowOff>
    </xdr:from>
    <xdr:to>
      <xdr:col>8</xdr:col>
      <xdr:colOff>495300</xdr:colOff>
      <xdr:row>38</xdr:row>
      <xdr:rowOff>0</xdr:rowOff>
    </xdr:to>
    <xdr:sp macro="" textlink="">
      <xdr:nvSpPr>
        <xdr:cNvPr id="4147" name="Line 18"/>
        <xdr:cNvSpPr>
          <a:spLocks noChangeShapeType="1"/>
        </xdr:cNvSpPr>
      </xdr:nvSpPr>
      <xdr:spPr bwMode="auto">
        <a:xfrm>
          <a:off x="4305300" y="6038850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238125</xdr:colOff>
      <xdr:row>36</xdr:row>
      <xdr:rowOff>28575</xdr:rowOff>
    </xdr:from>
    <xdr:to>
      <xdr:col>8</xdr:col>
      <xdr:colOff>495300</xdr:colOff>
      <xdr:row>36</xdr:row>
      <xdr:rowOff>28575</xdr:rowOff>
    </xdr:to>
    <xdr:sp macro="" textlink="">
      <xdr:nvSpPr>
        <xdr:cNvPr id="4148" name="Line 19"/>
        <xdr:cNvSpPr>
          <a:spLocks noChangeShapeType="1"/>
        </xdr:cNvSpPr>
      </xdr:nvSpPr>
      <xdr:spPr bwMode="auto">
        <a:xfrm>
          <a:off x="4305300" y="5762625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238125</xdr:colOff>
      <xdr:row>34</xdr:row>
      <xdr:rowOff>85725</xdr:rowOff>
    </xdr:from>
    <xdr:to>
      <xdr:col>8</xdr:col>
      <xdr:colOff>495300</xdr:colOff>
      <xdr:row>34</xdr:row>
      <xdr:rowOff>85725</xdr:rowOff>
    </xdr:to>
    <xdr:sp macro="" textlink="">
      <xdr:nvSpPr>
        <xdr:cNvPr id="4149" name="Line 20"/>
        <xdr:cNvSpPr>
          <a:spLocks noChangeShapeType="1"/>
        </xdr:cNvSpPr>
      </xdr:nvSpPr>
      <xdr:spPr bwMode="auto">
        <a:xfrm>
          <a:off x="4305300" y="5514975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40</xdr:row>
      <xdr:rowOff>47625</xdr:rowOff>
    </xdr:from>
    <xdr:to>
      <xdr:col>9</xdr:col>
      <xdr:colOff>314325</xdr:colOff>
      <xdr:row>40</xdr:row>
      <xdr:rowOff>47625</xdr:rowOff>
    </xdr:to>
    <xdr:sp macro="" textlink="">
      <xdr:nvSpPr>
        <xdr:cNvPr id="4150" name="Line 21"/>
        <xdr:cNvSpPr>
          <a:spLocks noChangeShapeType="1"/>
        </xdr:cNvSpPr>
      </xdr:nvSpPr>
      <xdr:spPr bwMode="auto">
        <a:xfrm>
          <a:off x="5438775" y="63912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38</xdr:row>
      <xdr:rowOff>0</xdr:rowOff>
    </xdr:from>
    <xdr:to>
      <xdr:col>9</xdr:col>
      <xdr:colOff>314325</xdr:colOff>
      <xdr:row>38</xdr:row>
      <xdr:rowOff>0</xdr:rowOff>
    </xdr:to>
    <xdr:sp macro="" textlink="">
      <xdr:nvSpPr>
        <xdr:cNvPr id="4151" name="Line 25"/>
        <xdr:cNvSpPr>
          <a:spLocks noChangeShapeType="1"/>
        </xdr:cNvSpPr>
      </xdr:nvSpPr>
      <xdr:spPr bwMode="auto">
        <a:xfrm>
          <a:off x="5438775" y="60388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36</xdr:row>
      <xdr:rowOff>28575</xdr:rowOff>
    </xdr:from>
    <xdr:to>
      <xdr:col>9</xdr:col>
      <xdr:colOff>314325</xdr:colOff>
      <xdr:row>36</xdr:row>
      <xdr:rowOff>28575</xdr:rowOff>
    </xdr:to>
    <xdr:sp macro="" textlink="">
      <xdr:nvSpPr>
        <xdr:cNvPr id="4152" name="Line 26"/>
        <xdr:cNvSpPr>
          <a:spLocks noChangeShapeType="1"/>
        </xdr:cNvSpPr>
      </xdr:nvSpPr>
      <xdr:spPr bwMode="auto">
        <a:xfrm>
          <a:off x="5438775" y="576262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34</xdr:row>
      <xdr:rowOff>85725</xdr:rowOff>
    </xdr:from>
    <xdr:to>
      <xdr:col>9</xdr:col>
      <xdr:colOff>314325</xdr:colOff>
      <xdr:row>34</xdr:row>
      <xdr:rowOff>85725</xdr:rowOff>
    </xdr:to>
    <xdr:sp macro="" textlink="">
      <xdr:nvSpPr>
        <xdr:cNvPr id="4153" name="Line 27"/>
        <xdr:cNvSpPr>
          <a:spLocks noChangeShapeType="1"/>
        </xdr:cNvSpPr>
      </xdr:nvSpPr>
      <xdr:spPr bwMode="auto">
        <a:xfrm>
          <a:off x="5438775" y="55149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33</xdr:row>
      <xdr:rowOff>66675</xdr:rowOff>
    </xdr:from>
    <xdr:to>
      <xdr:col>9</xdr:col>
      <xdr:colOff>314325</xdr:colOff>
      <xdr:row>33</xdr:row>
      <xdr:rowOff>66675</xdr:rowOff>
    </xdr:to>
    <xdr:sp macro="" textlink="">
      <xdr:nvSpPr>
        <xdr:cNvPr id="4154" name="Line 28"/>
        <xdr:cNvSpPr>
          <a:spLocks noChangeShapeType="1"/>
        </xdr:cNvSpPr>
      </xdr:nvSpPr>
      <xdr:spPr bwMode="auto">
        <a:xfrm>
          <a:off x="5438775" y="534352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38</xdr:row>
      <xdr:rowOff>0</xdr:rowOff>
    </xdr:from>
    <xdr:to>
      <xdr:col>9</xdr:col>
      <xdr:colOff>276225</xdr:colOff>
      <xdr:row>40</xdr:row>
      <xdr:rowOff>47625</xdr:rowOff>
    </xdr:to>
    <xdr:sp macro="" textlink="">
      <xdr:nvSpPr>
        <xdr:cNvPr id="4155" name="Line 29"/>
        <xdr:cNvSpPr>
          <a:spLocks noChangeShapeType="1"/>
        </xdr:cNvSpPr>
      </xdr:nvSpPr>
      <xdr:spPr bwMode="auto">
        <a:xfrm flipV="1">
          <a:off x="5657850" y="60388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38</xdr:row>
      <xdr:rowOff>0</xdr:rowOff>
    </xdr:from>
    <xdr:to>
      <xdr:col>9</xdr:col>
      <xdr:colOff>276225</xdr:colOff>
      <xdr:row>40</xdr:row>
      <xdr:rowOff>47625</xdr:rowOff>
    </xdr:to>
    <xdr:sp macro="" textlink="">
      <xdr:nvSpPr>
        <xdr:cNvPr id="4156" name="Line 30"/>
        <xdr:cNvSpPr>
          <a:spLocks noChangeShapeType="1"/>
        </xdr:cNvSpPr>
      </xdr:nvSpPr>
      <xdr:spPr bwMode="auto">
        <a:xfrm>
          <a:off x="5657850" y="60388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36</xdr:row>
      <xdr:rowOff>28575</xdr:rowOff>
    </xdr:from>
    <xdr:to>
      <xdr:col>9</xdr:col>
      <xdr:colOff>276225</xdr:colOff>
      <xdr:row>38</xdr:row>
      <xdr:rowOff>0</xdr:rowOff>
    </xdr:to>
    <xdr:sp macro="" textlink="">
      <xdr:nvSpPr>
        <xdr:cNvPr id="4157" name="Line 31"/>
        <xdr:cNvSpPr>
          <a:spLocks noChangeShapeType="1"/>
        </xdr:cNvSpPr>
      </xdr:nvSpPr>
      <xdr:spPr bwMode="auto">
        <a:xfrm flipV="1">
          <a:off x="5657850" y="5762625"/>
          <a:ext cx="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36</xdr:row>
      <xdr:rowOff>28575</xdr:rowOff>
    </xdr:from>
    <xdr:to>
      <xdr:col>9</xdr:col>
      <xdr:colOff>276225</xdr:colOff>
      <xdr:row>37</xdr:row>
      <xdr:rowOff>152400</xdr:rowOff>
    </xdr:to>
    <xdr:sp macro="" textlink="">
      <xdr:nvSpPr>
        <xdr:cNvPr id="4158" name="Line 32"/>
        <xdr:cNvSpPr>
          <a:spLocks noChangeShapeType="1"/>
        </xdr:cNvSpPr>
      </xdr:nvSpPr>
      <xdr:spPr bwMode="auto">
        <a:xfrm>
          <a:off x="5657850" y="5762625"/>
          <a:ext cx="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34</xdr:row>
      <xdr:rowOff>85725</xdr:rowOff>
    </xdr:from>
    <xdr:to>
      <xdr:col>9</xdr:col>
      <xdr:colOff>276225</xdr:colOff>
      <xdr:row>36</xdr:row>
      <xdr:rowOff>28575</xdr:rowOff>
    </xdr:to>
    <xdr:sp macro="" textlink="">
      <xdr:nvSpPr>
        <xdr:cNvPr id="4159" name="Line 33"/>
        <xdr:cNvSpPr>
          <a:spLocks noChangeShapeType="1"/>
        </xdr:cNvSpPr>
      </xdr:nvSpPr>
      <xdr:spPr bwMode="auto">
        <a:xfrm flipV="1">
          <a:off x="5657850" y="55149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34</xdr:row>
      <xdr:rowOff>85725</xdr:rowOff>
    </xdr:from>
    <xdr:to>
      <xdr:col>9</xdr:col>
      <xdr:colOff>276225</xdr:colOff>
      <xdr:row>36</xdr:row>
      <xdr:rowOff>19050</xdr:rowOff>
    </xdr:to>
    <xdr:sp macro="" textlink="">
      <xdr:nvSpPr>
        <xdr:cNvPr id="4160" name="Line 34"/>
        <xdr:cNvSpPr>
          <a:spLocks noChangeShapeType="1"/>
        </xdr:cNvSpPr>
      </xdr:nvSpPr>
      <xdr:spPr bwMode="auto">
        <a:xfrm>
          <a:off x="5657850" y="551497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33</xdr:row>
      <xdr:rowOff>66675</xdr:rowOff>
    </xdr:from>
    <xdr:to>
      <xdr:col>9</xdr:col>
      <xdr:colOff>276225</xdr:colOff>
      <xdr:row>34</xdr:row>
      <xdr:rowOff>95250</xdr:rowOff>
    </xdr:to>
    <xdr:sp macro="" textlink="">
      <xdr:nvSpPr>
        <xdr:cNvPr id="4161" name="Line 35"/>
        <xdr:cNvSpPr>
          <a:spLocks noChangeShapeType="1"/>
        </xdr:cNvSpPr>
      </xdr:nvSpPr>
      <xdr:spPr bwMode="auto">
        <a:xfrm flipV="1">
          <a:off x="5657850" y="534352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33</xdr:row>
      <xdr:rowOff>66675</xdr:rowOff>
    </xdr:from>
    <xdr:to>
      <xdr:col>9</xdr:col>
      <xdr:colOff>276225</xdr:colOff>
      <xdr:row>34</xdr:row>
      <xdr:rowOff>76200</xdr:rowOff>
    </xdr:to>
    <xdr:sp macro="" textlink="">
      <xdr:nvSpPr>
        <xdr:cNvPr id="4162" name="Line 36"/>
        <xdr:cNvSpPr>
          <a:spLocks noChangeShapeType="1"/>
        </xdr:cNvSpPr>
      </xdr:nvSpPr>
      <xdr:spPr bwMode="auto">
        <a:xfrm>
          <a:off x="5657850" y="53435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39</xdr:row>
      <xdr:rowOff>28575</xdr:rowOff>
    </xdr:from>
    <xdr:to>
      <xdr:col>10</xdr:col>
      <xdr:colOff>561975</xdr:colOff>
      <xdr:row>39</xdr:row>
      <xdr:rowOff>85725</xdr:rowOff>
    </xdr:to>
    <xdr:sp macro="" textlink="">
      <xdr:nvSpPr>
        <xdr:cNvPr id="4163" name="Line 37"/>
        <xdr:cNvSpPr>
          <a:spLocks noChangeShapeType="1"/>
        </xdr:cNvSpPr>
      </xdr:nvSpPr>
      <xdr:spPr bwMode="auto">
        <a:xfrm flipH="1" flipV="1">
          <a:off x="5657850" y="6219825"/>
          <a:ext cx="8953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37</xdr:row>
      <xdr:rowOff>0</xdr:rowOff>
    </xdr:from>
    <xdr:to>
      <xdr:col>10</xdr:col>
      <xdr:colOff>581025</xdr:colOff>
      <xdr:row>37</xdr:row>
      <xdr:rowOff>85725</xdr:rowOff>
    </xdr:to>
    <xdr:sp macro="" textlink="">
      <xdr:nvSpPr>
        <xdr:cNvPr id="4164" name="Line 38"/>
        <xdr:cNvSpPr>
          <a:spLocks noChangeShapeType="1"/>
        </xdr:cNvSpPr>
      </xdr:nvSpPr>
      <xdr:spPr bwMode="auto">
        <a:xfrm flipH="1" flipV="1">
          <a:off x="5657850" y="5886450"/>
          <a:ext cx="91440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35</xdr:row>
      <xdr:rowOff>57150</xdr:rowOff>
    </xdr:from>
    <xdr:to>
      <xdr:col>10</xdr:col>
      <xdr:colOff>571500</xdr:colOff>
      <xdr:row>35</xdr:row>
      <xdr:rowOff>85725</xdr:rowOff>
    </xdr:to>
    <xdr:sp macro="" textlink="">
      <xdr:nvSpPr>
        <xdr:cNvPr id="4165" name="Line 39"/>
        <xdr:cNvSpPr>
          <a:spLocks noChangeShapeType="1"/>
        </xdr:cNvSpPr>
      </xdr:nvSpPr>
      <xdr:spPr bwMode="auto">
        <a:xfrm flipH="1" flipV="1">
          <a:off x="5657850" y="5638800"/>
          <a:ext cx="9048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276225</xdr:colOff>
      <xdr:row>33</xdr:row>
      <xdr:rowOff>85725</xdr:rowOff>
    </xdr:from>
    <xdr:to>
      <xdr:col>10</xdr:col>
      <xdr:colOff>581025</xdr:colOff>
      <xdr:row>33</xdr:row>
      <xdr:rowOff>152400</xdr:rowOff>
    </xdr:to>
    <xdr:sp macro="" textlink="">
      <xdr:nvSpPr>
        <xdr:cNvPr id="4166" name="Line 40"/>
        <xdr:cNvSpPr>
          <a:spLocks noChangeShapeType="1"/>
        </xdr:cNvSpPr>
      </xdr:nvSpPr>
      <xdr:spPr bwMode="auto">
        <a:xfrm flipH="1">
          <a:off x="5657850" y="5362575"/>
          <a:ext cx="9144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55</xdr:row>
      <xdr:rowOff>133350</xdr:rowOff>
    </xdr:from>
    <xdr:to>
      <xdr:col>12</xdr:col>
      <xdr:colOff>581025</xdr:colOff>
      <xdr:row>55</xdr:row>
      <xdr:rowOff>133350</xdr:rowOff>
    </xdr:to>
    <xdr:sp macro="" textlink="">
      <xdr:nvSpPr>
        <xdr:cNvPr id="2118" name="Line 13"/>
        <xdr:cNvSpPr>
          <a:spLocks noChangeShapeType="1"/>
        </xdr:cNvSpPr>
      </xdr:nvSpPr>
      <xdr:spPr bwMode="auto">
        <a:xfrm flipH="1">
          <a:off x="6048375" y="9077325"/>
          <a:ext cx="107632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581025</xdr:colOff>
      <xdr:row>48</xdr:row>
      <xdr:rowOff>19050</xdr:rowOff>
    </xdr:from>
    <xdr:to>
      <xdr:col>13</xdr:col>
      <xdr:colOff>542925</xdr:colOff>
      <xdr:row>55</xdr:row>
      <xdr:rowOff>133350</xdr:rowOff>
    </xdr:to>
    <xdr:sp macro="" textlink="">
      <xdr:nvSpPr>
        <xdr:cNvPr id="2119" name="Line 14"/>
        <xdr:cNvSpPr>
          <a:spLocks noChangeShapeType="1"/>
        </xdr:cNvSpPr>
      </xdr:nvSpPr>
      <xdr:spPr bwMode="auto">
        <a:xfrm flipV="1">
          <a:off x="7124700" y="7762875"/>
          <a:ext cx="609600" cy="13144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161925</xdr:colOff>
      <xdr:row>48</xdr:row>
      <xdr:rowOff>9525</xdr:rowOff>
    </xdr:from>
    <xdr:to>
      <xdr:col>11</xdr:col>
      <xdr:colOff>114300</xdr:colOff>
      <xdr:row>55</xdr:row>
      <xdr:rowOff>133350</xdr:rowOff>
    </xdr:to>
    <xdr:sp macro="" textlink="">
      <xdr:nvSpPr>
        <xdr:cNvPr id="2120" name="Line 15"/>
        <xdr:cNvSpPr>
          <a:spLocks noChangeShapeType="1"/>
        </xdr:cNvSpPr>
      </xdr:nvSpPr>
      <xdr:spPr bwMode="auto">
        <a:xfrm flipH="1" flipV="1">
          <a:off x="5486400" y="7753350"/>
          <a:ext cx="561975" cy="13239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371475</xdr:colOff>
      <xdr:row>49</xdr:row>
      <xdr:rowOff>57150</xdr:rowOff>
    </xdr:from>
    <xdr:to>
      <xdr:col>5</xdr:col>
      <xdr:colOff>323850</xdr:colOff>
      <xdr:row>57</xdr:row>
      <xdr:rowOff>47625</xdr:rowOff>
    </xdr:to>
    <xdr:sp macro="" textlink="">
      <xdr:nvSpPr>
        <xdr:cNvPr id="2121" name="Rectangle 16"/>
        <xdr:cNvSpPr>
          <a:spLocks noChangeArrowheads="1"/>
        </xdr:cNvSpPr>
      </xdr:nvSpPr>
      <xdr:spPr bwMode="auto">
        <a:xfrm>
          <a:off x="371475" y="7991475"/>
          <a:ext cx="2562225" cy="1381125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50</xdr:row>
      <xdr:rowOff>85725</xdr:rowOff>
    </xdr:from>
    <xdr:to>
      <xdr:col>5</xdr:col>
      <xdr:colOff>123825</xdr:colOff>
      <xdr:row>56</xdr:row>
      <xdr:rowOff>38100</xdr:rowOff>
    </xdr:to>
    <xdr:sp macro="" textlink="">
      <xdr:nvSpPr>
        <xdr:cNvPr id="2122" name="Rectangle 17"/>
        <xdr:cNvSpPr>
          <a:spLocks noChangeArrowheads="1"/>
        </xdr:cNvSpPr>
      </xdr:nvSpPr>
      <xdr:spPr bwMode="auto">
        <a:xfrm>
          <a:off x="581025" y="8210550"/>
          <a:ext cx="2152650" cy="962025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466725</xdr:colOff>
      <xdr:row>51</xdr:row>
      <xdr:rowOff>123825</xdr:rowOff>
    </xdr:from>
    <xdr:to>
      <xdr:col>13</xdr:col>
      <xdr:colOff>209550</xdr:colOff>
      <xdr:row>51</xdr:row>
      <xdr:rowOff>123825</xdr:rowOff>
    </xdr:to>
    <xdr:sp macro="" textlink="">
      <xdr:nvSpPr>
        <xdr:cNvPr id="2123" name="Line 23"/>
        <xdr:cNvSpPr>
          <a:spLocks noChangeShapeType="1"/>
        </xdr:cNvSpPr>
      </xdr:nvSpPr>
      <xdr:spPr bwMode="auto">
        <a:xfrm>
          <a:off x="5791200" y="8439150"/>
          <a:ext cx="160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352425</xdr:colOff>
      <xdr:row>50</xdr:row>
      <xdr:rowOff>57150</xdr:rowOff>
    </xdr:from>
    <xdr:to>
      <xdr:col>13</xdr:col>
      <xdr:colOff>342900</xdr:colOff>
      <xdr:row>50</xdr:row>
      <xdr:rowOff>57150</xdr:rowOff>
    </xdr:to>
    <xdr:sp macro="" textlink="">
      <xdr:nvSpPr>
        <xdr:cNvPr id="2124" name="Line 24"/>
        <xdr:cNvSpPr>
          <a:spLocks noChangeShapeType="1"/>
        </xdr:cNvSpPr>
      </xdr:nvSpPr>
      <xdr:spPr bwMode="auto">
        <a:xfrm>
          <a:off x="5676900" y="8181975"/>
          <a:ext cx="1857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247650</xdr:colOff>
      <xdr:row>49</xdr:row>
      <xdr:rowOff>19050</xdr:rowOff>
    </xdr:from>
    <xdr:to>
      <xdr:col>13</xdr:col>
      <xdr:colOff>447675</xdr:colOff>
      <xdr:row>49</xdr:row>
      <xdr:rowOff>19050</xdr:rowOff>
    </xdr:to>
    <xdr:sp macro="" textlink="">
      <xdr:nvSpPr>
        <xdr:cNvPr id="2125" name="Line 25"/>
        <xdr:cNvSpPr>
          <a:spLocks noChangeShapeType="1"/>
        </xdr:cNvSpPr>
      </xdr:nvSpPr>
      <xdr:spPr bwMode="auto">
        <a:xfrm>
          <a:off x="5572125" y="7953375"/>
          <a:ext cx="2066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66675</xdr:colOff>
      <xdr:row>55</xdr:row>
      <xdr:rowOff>133350</xdr:rowOff>
    </xdr:from>
    <xdr:to>
      <xdr:col>13</xdr:col>
      <xdr:colOff>781050</xdr:colOff>
      <xdr:row>55</xdr:row>
      <xdr:rowOff>133350</xdr:rowOff>
    </xdr:to>
    <xdr:sp macro="" textlink="">
      <xdr:nvSpPr>
        <xdr:cNvPr id="2126" name="Line 27"/>
        <xdr:cNvSpPr>
          <a:spLocks noChangeShapeType="1"/>
        </xdr:cNvSpPr>
      </xdr:nvSpPr>
      <xdr:spPr bwMode="auto">
        <a:xfrm>
          <a:off x="7258050" y="90773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619125</xdr:colOff>
      <xdr:row>48</xdr:row>
      <xdr:rowOff>19050</xdr:rowOff>
    </xdr:from>
    <xdr:to>
      <xdr:col>13</xdr:col>
      <xdr:colOff>781050</xdr:colOff>
      <xdr:row>48</xdr:row>
      <xdr:rowOff>19050</xdr:rowOff>
    </xdr:to>
    <xdr:sp macro="" textlink="">
      <xdr:nvSpPr>
        <xdr:cNvPr id="2127" name="Line 30"/>
        <xdr:cNvSpPr>
          <a:spLocks noChangeShapeType="1"/>
        </xdr:cNvSpPr>
      </xdr:nvSpPr>
      <xdr:spPr bwMode="auto">
        <a:xfrm>
          <a:off x="7810500" y="77628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542925</xdr:colOff>
      <xdr:row>49</xdr:row>
      <xdr:rowOff>19050</xdr:rowOff>
    </xdr:from>
    <xdr:to>
      <xdr:col>13</xdr:col>
      <xdr:colOff>781050</xdr:colOff>
      <xdr:row>49</xdr:row>
      <xdr:rowOff>19050</xdr:rowOff>
    </xdr:to>
    <xdr:sp macro="" textlink="">
      <xdr:nvSpPr>
        <xdr:cNvPr id="2128" name="Line 31"/>
        <xdr:cNvSpPr>
          <a:spLocks noChangeShapeType="1"/>
        </xdr:cNvSpPr>
      </xdr:nvSpPr>
      <xdr:spPr bwMode="auto">
        <a:xfrm>
          <a:off x="7734300" y="79533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447675</xdr:colOff>
      <xdr:row>50</xdr:row>
      <xdr:rowOff>57150</xdr:rowOff>
    </xdr:from>
    <xdr:to>
      <xdr:col>13</xdr:col>
      <xdr:colOff>781050</xdr:colOff>
      <xdr:row>50</xdr:row>
      <xdr:rowOff>57150</xdr:rowOff>
    </xdr:to>
    <xdr:sp macro="" textlink="">
      <xdr:nvSpPr>
        <xdr:cNvPr id="2129" name="Line 32"/>
        <xdr:cNvSpPr>
          <a:spLocks noChangeShapeType="1"/>
        </xdr:cNvSpPr>
      </xdr:nvSpPr>
      <xdr:spPr bwMode="auto">
        <a:xfrm>
          <a:off x="7639050" y="81819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304800</xdr:colOff>
      <xdr:row>51</xdr:row>
      <xdr:rowOff>123825</xdr:rowOff>
    </xdr:from>
    <xdr:to>
      <xdr:col>13</xdr:col>
      <xdr:colOff>781050</xdr:colOff>
      <xdr:row>51</xdr:row>
      <xdr:rowOff>123825</xdr:rowOff>
    </xdr:to>
    <xdr:sp macro="" textlink="">
      <xdr:nvSpPr>
        <xdr:cNvPr id="2130" name="Line 33"/>
        <xdr:cNvSpPr>
          <a:spLocks noChangeShapeType="1"/>
        </xdr:cNvSpPr>
      </xdr:nvSpPr>
      <xdr:spPr bwMode="auto">
        <a:xfrm>
          <a:off x="7496175" y="843915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54</xdr:row>
      <xdr:rowOff>38100</xdr:rowOff>
    </xdr:from>
    <xdr:to>
      <xdr:col>13</xdr:col>
      <xdr:colOff>723900</xdr:colOff>
      <xdr:row>55</xdr:row>
      <xdr:rowOff>133350</xdr:rowOff>
    </xdr:to>
    <xdr:sp macro="" textlink="">
      <xdr:nvSpPr>
        <xdr:cNvPr id="2131" name="Line 34"/>
        <xdr:cNvSpPr>
          <a:spLocks noChangeShapeType="1"/>
        </xdr:cNvSpPr>
      </xdr:nvSpPr>
      <xdr:spPr bwMode="auto">
        <a:xfrm>
          <a:off x="7915275" y="879157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51</xdr:row>
      <xdr:rowOff>123825</xdr:rowOff>
    </xdr:from>
    <xdr:to>
      <xdr:col>13</xdr:col>
      <xdr:colOff>723900</xdr:colOff>
      <xdr:row>54</xdr:row>
      <xdr:rowOff>38100</xdr:rowOff>
    </xdr:to>
    <xdr:sp macro="" textlink="">
      <xdr:nvSpPr>
        <xdr:cNvPr id="2132" name="Line 36"/>
        <xdr:cNvSpPr>
          <a:spLocks noChangeShapeType="1"/>
        </xdr:cNvSpPr>
      </xdr:nvSpPr>
      <xdr:spPr bwMode="auto">
        <a:xfrm flipV="1">
          <a:off x="7915275" y="84391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50</xdr:row>
      <xdr:rowOff>57150</xdr:rowOff>
    </xdr:from>
    <xdr:to>
      <xdr:col>13</xdr:col>
      <xdr:colOff>723900</xdr:colOff>
      <xdr:row>51</xdr:row>
      <xdr:rowOff>123825</xdr:rowOff>
    </xdr:to>
    <xdr:sp macro="" textlink="">
      <xdr:nvSpPr>
        <xdr:cNvPr id="2133" name="Line 38"/>
        <xdr:cNvSpPr>
          <a:spLocks noChangeShapeType="1"/>
        </xdr:cNvSpPr>
      </xdr:nvSpPr>
      <xdr:spPr bwMode="auto">
        <a:xfrm flipV="1">
          <a:off x="7915275" y="81819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50</xdr:row>
      <xdr:rowOff>66675</xdr:rowOff>
    </xdr:from>
    <xdr:to>
      <xdr:col>13</xdr:col>
      <xdr:colOff>723900</xdr:colOff>
      <xdr:row>51</xdr:row>
      <xdr:rowOff>123825</xdr:rowOff>
    </xdr:to>
    <xdr:sp macro="" textlink="">
      <xdr:nvSpPr>
        <xdr:cNvPr id="2134" name="Line 39"/>
        <xdr:cNvSpPr>
          <a:spLocks noChangeShapeType="1"/>
        </xdr:cNvSpPr>
      </xdr:nvSpPr>
      <xdr:spPr bwMode="auto">
        <a:xfrm>
          <a:off x="7915275" y="81915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49</xdr:row>
      <xdr:rowOff>19050</xdr:rowOff>
    </xdr:from>
    <xdr:to>
      <xdr:col>13</xdr:col>
      <xdr:colOff>723900</xdr:colOff>
      <xdr:row>50</xdr:row>
      <xdr:rowOff>57150</xdr:rowOff>
    </xdr:to>
    <xdr:sp macro="" textlink="">
      <xdr:nvSpPr>
        <xdr:cNvPr id="2135" name="Line 40"/>
        <xdr:cNvSpPr>
          <a:spLocks noChangeShapeType="1"/>
        </xdr:cNvSpPr>
      </xdr:nvSpPr>
      <xdr:spPr bwMode="auto">
        <a:xfrm flipV="1">
          <a:off x="7915275" y="795337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49</xdr:row>
      <xdr:rowOff>19050</xdr:rowOff>
    </xdr:from>
    <xdr:to>
      <xdr:col>13</xdr:col>
      <xdr:colOff>723900</xdr:colOff>
      <xdr:row>50</xdr:row>
      <xdr:rowOff>57150</xdr:rowOff>
    </xdr:to>
    <xdr:sp macro="" textlink="">
      <xdr:nvSpPr>
        <xdr:cNvPr id="2136" name="Line 41"/>
        <xdr:cNvSpPr>
          <a:spLocks noChangeShapeType="1"/>
        </xdr:cNvSpPr>
      </xdr:nvSpPr>
      <xdr:spPr bwMode="auto">
        <a:xfrm>
          <a:off x="7915275" y="795337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48</xdr:row>
      <xdr:rowOff>19050</xdr:rowOff>
    </xdr:from>
    <xdr:to>
      <xdr:col>13</xdr:col>
      <xdr:colOff>723900</xdr:colOff>
      <xdr:row>49</xdr:row>
      <xdr:rowOff>19050</xdr:rowOff>
    </xdr:to>
    <xdr:sp macro="" textlink="">
      <xdr:nvSpPr>
        <xdr:cNvPr id="2137" name="Line 42"/>
        <xdr:cNvSpPr>
          <a:spLocks noChangeShapeType="1"/>
        </xdr:cNvSpPr>
      </xdr:nvSpPr>
      <xdr:spPr bwMode="auto">
        <a:xfrm flipV="1">
          <a:off x="7915275" y="77628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48</xdr:row>
      <xdr:rowOff>19050</xdr:rowOff>
    </xdr:from>
    <xdr:to>
      <xdr:col>13</xdr:col>
      <xdr:colOff>723900</xdr:colOff>
      <xdr:row>49</xdr:row>
      <xdr:rowOff>19050</xdr:rowOff>
    </xdr:to>
    <xdr:sp macro="" textlink="">
      <xdr:nvSpPr>
        <xdr:cNvPr id="2138" name="Line 43"/>
        <xdr:cNvSpPr>
          <a:spLocks noChangeShapeType="1"/>
        </xdr:cNvSpPr>
      </xdr:nvSpPr>
      <xdr:spPr bwMode="auto">
        <a:xfrm flipH="1">
          <a:off x="7915275" y="77628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48</xdr:row>
      <xdr:rowOff>95250</xdr:rowOff>
    </xdr:from>
    <xdr:to>
      <xdr:col>14</xdr:col>
      <xdr:colOff>0</xdr:colOff>
      <xdr:row>48</xdr:row>
      <xdr:rowOff>95250</xdr:rowOff>
    </xdr:to>
    <xdr:sp macro="" textlink="">
      <xdr:nvSpPr>
        <xdr:cNvPr id="2139" name="Line 44"/>
        <xdr:cNvSpPr>
          <a:spLocks noChangeShapeType="1"/>
        </xdr:cNvSpPr>
      </xdr:nvSpPr>
      <xdr:spPr bwMode="auto">
        <a:xfrm flipH="1">
          <a:off x="7915275" y="7839075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49</xdr:row>
      <xdr:rowOff>123825</xdr:rowOff>
    </xdr:from>
    <xdr:to>
      <xdr:col>14</xdr:col>
      <xdr:colOff>0</xdr:colOff>
      <xdr:row>50</xdr:row>
      <xdr:rowOff>104775</xdr:rowOff>
    </xdr:to>
    <xdr:sp macro="" textlink="">
      <xdr:nvSpPr>
        <xdr:cNvPr id="2140" name="Line 45"/>
        <xdr:cNvSpPr>
          <a:spLocks noChangeShapeType="1"/>
        </xdr:cNvSpPr>
      </xdr:nvSpPr>
      <xdr:spPr bwMode="auto">
        <a:xfrm flipH="1" flipV="1">
          <a:off x="7915275" y="8058150"/>
          <a:ext cx="31432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51</xdr:row>
      <xdr:rowOff>9525</xdr:rowOff>
    </xdr:from>
    <xdr:to>
      <xdr:col>13</xdr:col>
      <xdr:colOff>1028700</xdr:colOff>
      <xdr:row>53</xdr:row>
      <xdr:rowOff>104775</xdr:rowOff>
    </xdr:to>
    <xdr:sp macro="" textlink="">
      <xdr:nvSpPr>
        <xdr:cNvPr id="2141" name="Line 46"/>
        <xdr:cNvSpPr>
          <a:spLocks noChangeShapeType="1"/>
        </xdr:cNvSpPr>
      </xdr:nvSpPr>
      <xdr:spPr bwMode="auto">
        <a:xfrm flipH="1" flipV="1">
          <a:off x="7915275" y="8324850"/>
          <a:ext cx="304800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723900</xdr:colOff>
      <xdr:row>54</xdr:row>
      <xdr:rowOff>38100</xdr:rowOff>
    </xdr:from>
    <xdr:to>
      <xdr:col>14</xdr:col>
      <xdr:colOff>0</xdr:colOff>
      <xdr:row>55</xdr:row>
      <xdr:rowOff>104775</xdr:rowOff>
    </xdr:to>
    <xdr:sp macro="" textlink="">
      <xdr:nvSpPr>
        <xdr:cNvPr id="2142" name="Line 47"/>
        <xdr:cNvSpPr>
          <a:spLocks noChangeShapeType="1"/>
        </xdr:cNvSpPr>
      </xdr:nvSpPr>
      <xdr:spPr bwMode="auto">
        <a:xfrm flipH="1" flipV="1">
          <a:off x="7915275" y="8791575"/>
          <a:ext cx="3143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371475</xdr:colOff>
      <xdr:row>56</xdr:row>
      <xdr:rowOff>38100</xdr:rowOff>
    </xdr:from>
    <xdr:to>
      <xdr:col>1</xdr:col>
      <xdr:colOff>9525</xdr:colOff>
      <xdr:row>57</xdr:row>
      <xdr:rowOff>38100</xdr:rowOff>
    </xdr:to>
    <xdr:sp macro="" textlink="">
      <xdr:nvSpPr>
        <xdr:cNvPr id="2143" name="Line 58"/>
        <xdr:cNvSpPr>
          <a:spLocks noChangeShapeType="1"/>
        </xdr:cNvSpPr>
      </xdr:nvSpPr>
      <xdr:spPr bwMode="auto">
        <a:xfrm flipV="1">
          <a:off x="371475" y="9172575"/>
          <a:ext cx="200025" cy="1905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371475</xdr:colOff>
      <xdr:row>49</xdr:row>
      <xdr:rowOff>57150</xdr:rowOff>
    </xdr:from>
    <xdr:to>
      <xdr:col>1</xdr:col>
      <xdr:colOff>19050</xdr:colOff>
      <xdr:row>50</xdr:row>
      <xdr:rowOff>76200</xdr:rowOff>
    </xdr:to>
    <xdr:sp macro="" textlink="">
      <xdr:nvSpPr>
        <xdr:cNvPr id="2144" name="Line 59"/>
        <xdr:cNvSpPr>
          <a:spLocks noChangeShapeType="1"/>
        </xdr:cNvSpPr>
      </xdr:nvSpPr>
      <xdr:spPr bwMode="auto">
        <a:xfrm flipH="1" flipV="1">
          <a:off x="371475" y="7991475"/>
          <a:ext cx="209550" cy="209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123825</xdr:colOff>
      <xdr:row>49</xdr:row>
      <xdr:rowOff>57150</xdr:rowOff>
    </xdr:from>
    <xdr:to>
      <xdr:col>5</xdr:col>
      <xdr:colOff>323850</xdr:colOff>
      <xdr:row>50</xdr:row>
      <xdr:rowOff>76200</xdr:rowOff>
    </xdr:to>
    <xdr:sp macro="" textlink="">
      <xdr:nvSpPr>
        <xdr:cNvPr id="2145" name="Line 60"/>
        <xdr:cNvSpPr>
          <a:spLocks noChangeShapeType="1"/>
        </xdr:cNvSpPr>
      </xdr:nvSpPr>
      <xdr:spPr bwMode="auto">
        <a:xfrm flipV="1">
          <a:off x="2733675" y="7991475"/>
          <a:ext cx="200025" cy="209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123825</xdr:colOff>
      <xdr:row>56</xdr:row>
      <xdr:rowOff>47625</xdr:rowOff>
    </xdr:from>
    <xdr:to>
      <xdr:col>5</xdr:col>
      <xdr:colOff>323850</xdr:colOff>
      <xdr:row>57</xdr:row>
      <xdr:rowOff>47625</xdr:rowOff>
    </xdr:to>
    <xdr:sp macro="" textlink="">
      <xdr:nvSpPr>
        <xdr:cNvPr id="2146" name="Line 61"/>
        <xdr:cNvSpPr>
          <a:spLocks noChangeShapeType="1"/>
        </xdr:cNvSpPr>
      </xdr:nvSpPr>
      <xdr:spPr bwMode="auto">
        <a:xfrm>
          <a:off x="2733675" y="9182100"/>
          <a:ext cx="200025" cy="1905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123825</xdr:colOff>
      <xdr:row>53</xdr:row>
      <xdr:rowOff>104775</xdr:rowOff>
    </xdr:from>
    <xdr:to>
      <xdr:col>5</xdr:col>
      <xdr:colOff>466725</xdr:colOff>
      <xdr:row>54</xdr:row>
      <xdr:rowOff>28575</xdr:rowOff>
    </xdr:to>
    <xdr:sp macro="" textlink="">
      <xdr:nvSpPr>
        <xdr:cNvPr id="2147" name="Line 62"/>
        <xdr:cNvSpPr>
          <a:spLocks noChangeShapeType="1"/>
        </xdr:cNvSpPr>
      </xdr:nvSpPr>
      <xdr:spPr bwMode="auto">
        <a:xfrm flipH="1">
          <a:off x="2733675" y="8667750"/>
          <a:ext cx="3429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333375</xdr:colOff>
      <xdr:row>51</xdr:row>
      <xdr:rowOff>95250</xdr:rowOff>
    </xdr:from>
    <xdr:to>
      <xdr:col>6</xdr:col>
      <xdr:colOff>47625</xdr:colOff>
      <xdr:row>52</xdr:row>
      <xdr:rowOff>0</xdr:rowOff>
    </xdr:to>
    <xdr:sp macro="" textlink="">
      <xdr:nvSpPr>
        <xdr:cNvPr id="2148" name="Line 63"/>
        <xdr:cNvSpPr>
          <a:spLocks noChangeShapeType="1"/>
        </xdr:cNvSpPr>
      </xdr:nvSpPr>
      <xdr:spPr bwMode="auto">
        <a:xfrm flipH="1">
          <a:off x="2943225" y="8410575"/>
          <a:ext cx="3238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47</xdr:row>
      <xdr:rowOff>95250</xdr:rowOff>
    </xdr:from>
    <xdr:to>
      <xdr:col>5</xdr:col>
      <xdr:colOff>28575</xdr:colOff>
      <xdr:row>50</xdr:row>
      <xdr:rowOff>76200</xdr:rowOff>
    </xdr:to>
    <xdr:sp macro="" textlink="">
      <xdr:nvSpPr>
        <xdr:cNvPr id="2149" name="Line 64"/>
        <xdr:cNvSpPr>
          <a:spLocks noChangeShapeType="1"/>
        </xdr:cNvSpPr>
      </xdr:nvSpPr>
      <xdr:spPr bwMode="auto">
        <a:xfrm flipH="1">
          <a:off x="1990725" y="7648575"/>
          <a:ext cx="6477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47</xdr:row>
      <xdr:rowOff>95250</xdr:rowOff>
    </xdr:from>
    <xdr:to>
      <xdr:col>5</xdr:col>
      <xdr:colOff>28575</xdr:colOff>
      <xdr:row>47</xdr:row>
      <xdr:rowOff>95250</xdr:rowOff>
    </xdr:to>
    <xdr:sp macro="" textlink="">
      <xdr:nvSpPr>
        <xdr:cNvPr id="2150" name="Line 66"/>
        <xdr:cNvSpPr>
          <a:spLocks noChangeShapeType="1"/>
        </xdr:cNvSpPr>
      </xdr:nvSpPr>
      <xdr:spPr bwMode="auto">
        <a:xfrm flipH="1">
          <a:off x="2505075" y="76485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45</xdr:row>
      <xdr:rowOff>95250</xdr:rowOff>
    </xdr:from>
    <xdr:to>
      <xdr:col>5</xdr:col>
      <xdr:colOff>561975</xdr:colOff>
      <xdr:row>49</xdr:row>
      <xdr:rowOff>57150</xdr:rowOff>
    </xdr:to>
    <xdr:sp macro="" textlink="">
      <xdr:nvSpPr>
        <xdr:cNvPr id="2151" name="Line 68"/>
        <xdr:cNvSpPr>
          <a:spLocks noChangeShapeType="1"/>
        </xdr:cNvSpPr>
      </xdr:nvSpPr>
      <xdr:spPr bwMode="auto">
        <a:xfrm flipH="1">
          <a:off x="2524125" y="7400925"/>
          <a:ext cx="64770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95250</xdr:rowOff>
    </xdr:from>
    <xdr:to>
      <xdr:col>5</xdr:col>
      <xdr:colOff>552450</xdr:colOff>
      <xdr:row>45</xdr:row>
      <xdr:rowOff>95250</xdr:rowOff>
    </xdr:to>
    <xdr:sp macro="" textlink="">
      <xdr:nvSpPr>
        <xdr:cNvPr id="2152" name="Line 69"/>
        <xdr:cNvSpPr>
          <a:spLocks noChangeShapeType="1"/>
        </xdr:cNvSpPr>
      </xdr:nvSpPr>
      <xdr:spPr bwMode="auto">
        <a:xfrm>
          <a:off x="2505075" y="7400925"/>
          <a:ext cx="657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N161"/>
  <sheetViews>
    <sheetView showGridLines="0" showRowColHeaders="0" workbookViewId="0"/>
  </sheetViews>
  <sheetFormatPr defaultRowHeight="12.75" x14ac:dyDescent="0.2"/>
  <cols>
    <col min="1" max="1" width="3.7109375" customWidth="1"/>
    <col min="2" max="34" width="10.7109375" customWidth="1"/>
  </cols>
  <sheetData>
    <row r="1" spans="1:14" ht="15" customHeight="1" x14ac:dyDescent="0.2">
      <c r="A1" s="5"/>
      <c r="B1" s="46" t="s">
        <v>131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ht="6.95" customHeight="1" x14ac:dyDescent="0.2">
      <c r="A2" s="5"/>
      <c r="B2" s="43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ht="15" customHeight="1" x14ac:dyDescent="0.2">
      <c r="A3" s="45" t="s">
        <v>132</v>
      </c>
      <c r="B3" s="43" t="s">
        <v>178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ht="6.95" customHeight="1" x14ac:dyDescent="0.2">
      <c r="A4" s="45"/>
      <c r="B4" s="4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ht="15" customHeight="1" x14ac:dyDescent="0.2">
      <c r="A5" s="45" t="s">
        <v>133</v>
      </c>
      <c r="B5" s="43" t="s">
        <v>147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ht="6.95" customHeight="1" x14ac:dyDescent="0.2">
      <c r="A6" s="45"/>
      <c r="B6" s="4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 ht="15" customHeight="1" x14ac:dyDescent="0.2">
      <c r="A7" s="45" t="s">
        <v>134</v>
      </c>
      <c r="B7" s="43" t="s">
        <v>148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 ht="6.95" customHeight="1" x14ac:dyDescent="0.2">
      <c r="A8" s="45"/>
      <c r="B8" s="4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 customHeight="1" x14ac:dyDescent="0.2">
      <c r="A9" s="45" t="s">
        <v>135</v>
      </c>
      <c r="B9" s="43" t="s">
        <v>151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 ht="15" customHeight="1" x14ac:dyDescent="0.2">
      <c r="A10" s="5"/>
      <c r="B10" s="4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ht="15" customHeight="1" x14ac:dyDescent="0.2">
      <c r="A11" s="5"/>
      <c r="B11" s="44" t="s">
        <v>175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6.95" customHeight="1" x14ac:dyDescent="0.2">
      <c r="A12" s="5"/>
      <c r="B12" s="4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 customHeight="1" x14ac:dyDescent="0.2">
      <c r="A13" s="45" t="s">
        <v>132</v>
      </c>
      <c r="B13" s="43" t="s">
        <v>146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ht="6.95" customHeight="1" x14ac:dyDescent="0.2">
      <c r="A14" s="45"/>
      <c r="B14" s="4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15" customHeight="1" x14ac:dyDescent="0.2">
      <c r="A15" s="45" t="s">
        <v>133</v>
      </c>
      <c r="B15" s="43" t="s">
        <v>145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 ht="6.95" customHeight="1" x14ac:dyDescent="0.2">
      <c r="A16" s="45"/>
      <c r="B16" s="4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ht="15" customHeight="1" x14ac:dyDescent="0.2">
      <c r="A17" s="45" t="s">
        <v>134</v>
      </c>
      <c r="B17" s="43" t="s">
        <v>144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ht="6.95" customHeight="1" x14ac:dyDescent="0.2">
      <c r="A18" s="45"/>
      <c r="B18" s="4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ht="15" customHeight="1" x14ac:dyDescent="0.2">
      <c r="A19" s="45" t="s">
        <v>135</v>
      </c>
      <c r="B19" s="43" t="s">
        <v>143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ht="6.95" customHeight="1" x14ac:dyDescent="0.2">
      <c r="A20" s="45"/>
      <c r="B20" s="4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ht="15" customHeight="1" x14ac:dyDescent="0.2">
      <c r="A21" s="45" t="s">
        <v>136</v>
      </c>
      <c r="B21" s="43" t="s">
        <v>142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ht="6.95" customHeight="1" x14ac:dyDescent="0.2">
      <c r="A22" s="45"/>
      <c r="B22" s="4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ht="15" customHeight="1" x14ac:dyDescent="0.2">
      <c r="A23" s="45" t="s">
        <v>137</v>
      </c>
      <c r="B23" s="43" t="s">
        <v>169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ht="6.95" customHeight="1" x14ac:dyDescent="0.2">
      <c r="A24" s="45"/>
      <c r="B24" s="4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ht="15" customHeight="1" x14ac:dyDescent="0.2">
      <c r="A25" s="45" t="s">
        <v>138</v>
      </c>
      <c r="B25" s="43" t="s">
        <v>153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 ht="15" customHeight="1" x14ac:dyDescent="0.2">
      <c r="A26" s="45"/>
      <c r="B26" s="43" t="s">
        <v>152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ht="6.95" customHeight="1" x14ac:dyDescent="0.2">
      <c r="A27" s="45"/>
      <c r="B27" s="4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 ht="15" customHeight="1" x14ac:dyDescent="0.2">
      <c r="A28" s="45" t="s">
        <v>139</v>
      </c>
      <c r="B28" s="43" t="s">
        <v>155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 ht="15" customHeight="1" x14ac:dyDescent="0.2">
      <c r="A29" s="45"/>
      <c r="B29" s="43" t="s">
        <v>154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ht="6.95" customHeight="1" x14ac:dyDescent="0.2">
      <c r="A30" s="45"/>
      <c r="B30" s="43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 ht="15" customHeight="1" x14ac:dyDescent="0.2">
      <c r="A31" s="45" t="s">
        <v>140</v>
      </c>
      <c r="B31" s="43" t="s">
        <v>203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ht="15" customHeight="1" x14ac:dyDescent="0.2">
      <c r="A32" s="45"/>
      <c r="B32" s="43" t="s">
        <v>204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ht="6.95" customHeight="1" x14ac:dyDescent="0.2">
      <c r="A33" s="45"/>
      <c r="B33" s="43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ht="15" customHeight="1" x14ac:dyDescent="0.2">
      <c r="A34" s="45" t="s">
        <v>141</v>
      </c>
      <c r="B34" s="43" t="s">
        <v>205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ht="15" customHeight="1" x14ac:dyDescent="0.2">
      <c r="A35" s="5"/>
      <c r="B35" s="43" t="s">
        <v>223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ht="6.95" customHeight="1" x14ac:dyDescent="0.2">
      <c r="A36" s="4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ht="15" customHeight="1" x14ac:dyDescent="0.2">
      <c r="A37" s="45" t="s">
        <v>149</v>
      </c>
      <c r="B37" s="43" t="s">
        <v>157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ht="6.95" customHeight="1" x14ac:dyDescent="0.2">
      <c r="A38" s="45"/>
      <c r="B38" s="43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ht="15" customHeight="1" x14ac:dyDescent="0.2">
      <c r="A39" s="45" t="s">
        <v>156</v>
      </c>
      <c r="B39" s="43" t="s">
        <v>215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ht="15" customHeight="1" x14ac:dyDescent="0.2">
      <c r="A40" s="45"/>
      <c r="B40" s="43" t="s">
        <v>216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ht="6.95" customHeight="1" x14ac:dyDescent="0.2">
      <c r="A41" s="45"/>
      <c r="B41" s="43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ht="15" customHeight="1" x14ac:dyDescent="0.2">
      <c r="A42" s="45" t="s">
        <v>184</v>
      </c>
      <c r="B42" s="43" t="s">
        <v>185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ht="15" customHeight="1" x14ac:dyDescent="0.2">
      <c r="A43" s="45"/>
      <c r="B43" s="43" t="s">
        <v>154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ht="6.95" customHeight="1" x14ac:dyDescent="0.2">
      <c r="A44" s="45"/>
      <c r="B44" s="43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ht="15" customHeight="1" x14ac:dyDescent="0.2">
      <c r="A45" s="45" t="s">
        <v>210</v>
      </c>
      <c r="B45" s="43" t="s">
        <v>158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ht="15" customHeight="1" x14ac:dyDescent="0.2">
      <c r="A46" s="45"/>
      <c r="B46" s="43" t="s">
        <v>159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ht="15" customHeight="1" x14ac:dyDescent="0.2">
      <c r="A47" s="4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ht="15" customHeight="1" x14ac:dyDescent="0.2">
      <c r="A48" s="45"/>
      <c r="B48" s="44" t="s">
        <v>176</v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ht="6.95" customHeight="1" x14ac:dyDescent="0.2">
      <c r="A49" s="4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ht="15" customHeight="1" x14ac:dyDescent="0.2">
      <c r="A50" s="45" t="s">
        <v>132</v>
      </c>
      <c r="B50" s="5" t="s">
        <v>160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ht="6.95" customHeight="1" x14ac:dyDescent="0.2">
      <c r="A51" s="4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ht="15" customHeight="1" x14ac:dyDescent="0.2">
      <c r="A52" s="45" t="s">
        <v>133</v>
      </c>
      <c r="B52" s="5" t="s">
        <v>161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ht="6.95" customHeight="1" x14ac:dyDescent="0.2">
      <c r="A53" s="4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ht="15" customHeight="1" x14ac:dyDescent="0.2">
      <c r="A54" s="45" t="s">
        <v>134</v>
      </c>
      <c r="B54" s="5" t="s">
        <v>162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ht="6.95" customHeight="1" x14ac:dyDescent="0.2">
      <c r="A55" s="4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ht="15" customHeight="1" x14ac:dyDescent="0.2">
      <c r="A56" s="45" t="s">
        <v>135</v>
      </c>
      <c r="B56" s="5" t="s">
        <v>163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ht="15" customHeight="1" x14ac:dyDescent="0.2">
      <c r="A57" s="45"/>
      <c r="B57" s="5" t="s">
        <v>164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ht="6.95" customHeight="1" x14ac:dyDescent="0.2">
      <c r="A58" s="4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ht="15" customHeight="1" x14ac:dyDescent="0.2">
      <c r="A59" s="45" t="s">
        <v>136</v>
      </c>
      <c r="B59" s="5" t="s">
        <v>165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ht="15" customHeight="1" x14ac:dyDescent="0.2">
      <c r="A60" s="45"/>
      <c r="B60" s="5" t="s">
        <v>166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 ht="6.95" customHeight="1" x14ac:dyDescent="0.2">
      <c r="A61" s="4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 ht="15" customHeight="1" x14ac:dyDescent="0.2">
      <c r="A62" s="45" t="s">
        <v>137</v>
      </c>
      <c r="B62" s="5" t="s">
        <v>214</v>
      </c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 ht="6.95" customHeight="1" x14ac:dyDescent="0.2">
      <c r="A63" s="4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ht="15" customHeight="1" x14ac:dyDescent="0.2">
      <c r="A64" s="45" t="s">
        <v>138</v>
      </c>
      <c r="B64" s="5" t="s">
        <v>212</v>
      </c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ht="15" customHeight="1" x14ac:dyDescent="0.2">
      <c r="A65" s="45"/>
      <c r="B65" s="5" t="s">
        <v>211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ht="6.95" customHeight="1" x14ac:dyDescent="0.2">
      <c r="A66" s="4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ht="15" customHeight="1" x14ac:dyDescent="0.2">
      <c r="A67" s="45" t="s">
        <v>139</v>
      </c>
      <c r="B67" s="5" t="s">
        <v>174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ht="6.95" customHeight="1" x14ac:dyDescent="0.2">
      <c r="A68" s="4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ht="15" customHeight="1" x14ac:dyDescent="0.2">
      <c r="A69" s="45" t="s">
        <v>140</v>
      </c>
      <c r="B69" s="5" t="s">
        <v>168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ht="15" customHeight="1" x14ac:dyDescent="0.2">
      <c r="A70" s="4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ht="15" customHeight="1" x14ac:dyDescent="0.2">
      <c r="A71" s="45"/>
      <c r="B71" s="44" t="s">
        <v>177</v>
      </c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ht="6.95" customHeight="1" x14ac:dyDescent="0.2">
      <c r="A72" s="4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ht="15" customHeight="1" x14ac:dyDescent="0.2">
      <c r="A73" s="45" t="s">
        <v>132</v>
      </c>
      <c r="B73" s="5" t="s">
        <v>160</v>
      </c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ht="6.95" customHeight="1" x14ac:dyDescent="0.2">
      <c r="A74" s="4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ht="15" customHeight="1" x14ac:dyDescent="0.2">
      <c r="A75" s="45" t="s">
        <v>133</v>
      </c>
      <c r="B75" s="5" t="s">
        <v>161</v>
      </c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ht="6.95" customHeight="1" x14ac:dyDescent="0.2">
      <c r="A76" s="4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ht="15" customHeight="1" x14ac:dyDescent="0.2">
      <c r="A77" s="45" t="s">
        <v>134</v>
      </c>
      <c r="B77" s="5" t="s">
        <v>162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ht="6.95" customHeight="1" x14ac:dyDescent="0.2">
      <c r="A78" s="4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ht="15" customHeight="1" x14ac:dyDescent="0.2">
      <c r="A79" s="45" t="s">
        <v>135</v>
      </c>
      <c r="B79" s="5" t="s">
        <v>163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1:14" ht="15" customHeight="1" x14ac:dyDescent="0.2">
      <c r="A80" s="45"/>
      <c r="B80" s="5" t="s">
        <v>164</v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r="81" spans="1:14" ht="6.95" customHeight="1" x14ac:dyDescent="0.2">
      <c r="A81" s="4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r="82" spans="1:14" x14ac:dyDescent="0.2">
      <c r="A82" s="45" t="s">
        <v>136</v>
      </c>
      <c r="B82" s="5" t="s">
        <v>207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r="83" spans="1:14" x14ac:dyDescent="0.2">
      <c r="A83" s="45"/>
      <c r="B83" s="5" t="s">
        <v>206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r="84" spans="1:14" ht="6.95" customHeight="1" x14ac:dyDescent="0.2">
      <c r="A84" s="4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1:14" x14ac:dyDescent="0.2">
      <c r="A85" s="45" t="s">
        <v>137</v>
      </c>
      <c r="B85" s="5" t="s">
        <v>170</v>
      </c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1:14" x14ac:dyDescent="0.2">
      <c r="A86" s="45"/>
      <c r="B86" s="5" t="s">
        <v>191</v>
      </c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4" x14ac:dyDescent="0.2">
      <c r="A87" s="45"/>
      <c r="B87" s="5" t="s">
        <v>171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r="88" spans="1:14" ht="6.95" customHeight="1" x14ac:dyDescent="0.2">
      <c r="A88" s="4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r="89" spans="1:14" x14ac:dyDescent="0.2">
      <c r="A89" s="45" t="s">
        <v>138</v>
      </c>
      <c r="B89" s="5" t="s">
        <v>172</v>
      </c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r="90" spans="1:14" ht="6.95" customHeight="1" x14ac:dyDescent="0.2">
      <c r="A90" s="4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</row>
    <row r="91" spans="1:14" x14ac:dyDescent="0.2">
      <c r="A91" s="45" t="s">
        <v>139</v>
      </c>
      <c r="B91" s="5" t="s">
        <v>214</v>
      </c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</row>
    <row r="92" spans="1:14" ht="6.95" customHeight="1" x14ac:dyDescent="0.2">
      <c r="A92" s="4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</row>
    <row r="93" spans="1:14" x14ac:dyDescent="0.2">
      <c r="A93" s="45" t="s">
        <v>140</v>
      </c>
      <c r="B93" s="5" t="s">
        <v>212</v>
      </c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</row>
    <row r="94" spans="1:14" x14ac:dyDescent="0.2">
      <c r="A94" s="45"/>
      <c r="B94" s="5" t="s">
        <v>211</v>
      </c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</row>
    <row r="95" spans="1:14" ht="6.95" customHeight="1" x14ac:dyDescent="0.2">
      <c r="A95" s="4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</row>
    <row r="96" spans="1:14" x14ac:dyDescent="0.2">
      <c r="A96" s="45" t="s">
        <v>141</v>
      </c>
      <c r="B96" s="5" t="s">
        <v>173</v>
      </c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</row>
    <row r="97" spans="1:14" ht="6.95" customHeight="1" x14ac:dyDescent="0.2">
      <c r="A97" s="4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</row>
    <row r="98" spans="1:14" x14ac:dyDescent="0.2">
      <c r="A98" s="45" t="s">
        <v>149</v>
      </c>
      <c r="B98" s="5" t="s">
        <v>168</v>
      </c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</row>
    <row r="99" spans="1:14" x14ac:dyDescent="0.2">
      <c r="A99" s="4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</row>
    <row r="100" spans="1:14" x14ac:dyDescent="0.2">
      <c r="A100" s="4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</row>
    <row r="101" spans="1:14" x14ac:dyDescent="0.2">
      <c r="A101" s="4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</row>
    <row r="102" spans="1:14" x14ac:dyDescent="0.2">
      <c r="A102" s="4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</row>
    <row r="103" spans="1:14" x14ac:dyDescent="0.2">
      <c r="A103" s="4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</row>
    <row r="104" spans="1:14" x14ac:dyDescent="0.2">
      <c r="A104" s="4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</row>
    <row r="105" spans="1:14" x14ac:dyDescent="0.2">
      <c r="A105" s="4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</row>
    <row r="106" spans="1:14" x14ac:dyDescent="0.2">
      <c r="A106" s="4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</row>
    <row r="107" spans="1:14" x14ac:dyDescent="0.2">
      <c r="A107" s="4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</row>
    <row r="108" spans="1:14" x14ac:dyDescent="0.2">
      <c r="A108" s="4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</row>
    <row r="109" spans="1:14" x14ac:dyDescent="0.2">
      <c r="A109" s="4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</row>
    <row r="110" spans="1:14" x14ac:dyDescent="0.2">
      <c r="A110" s="4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</row>
    <row r="111" spans="1:14" x14ac:dyDescent="0.2">
      <c r="A111" s="4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</row>
    <row r="112" spans="1:14" x14ac:dyDescent="0.2">
      <c r="A112" s="4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</row>
    <row r="113" spans="1:14" x14ac:dyDescent="0.2">
      <c r="A113" s="4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</row>
    <row r="114" spans="1:14" x14ac:dyDescent="0.2">
      <c r="A114" s="4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</row>
    <row r="115" spans="1:14" x14ac:dyDescent="0.2">
      <c r="A115" s="4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</row>
    <row r="116" spans="1:14" x14ac:dyDescent="0.2">
      <c r="A116" s="4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</row>
    <row r="117" spans="1:14" x14ac:dyDescent="0.2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</row>
    <row r="118" spans="1:14" x14ac:dyDescent="0.2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</row>
    <row r="119" spans="1:14" x14ac:dyDescent="0.2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</row>
    <row r="120" spans="1:14" x14ac:dyDescent="0.2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</row>
    <row r="121" spans="1:14" x14ac:dyDescent="0.2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</row>
    <row r="122" spans="1:14" x14ac:dyDescent="0.2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</row>
    <row r="123" spans="1:14" x14ac:dyDescent="0.2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</row>
    <row r="124" spans="1:14" x14ac:dyDescent="0.2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</row>
    <row r="125" spans="1:14" x14ac:dyDescent="0.2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</row>
    <row r="126" spans="1:14" x14ac:dyDescent="0.2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</row>
    <row r="127" spans="1:14" x14ac:dyDescent="0.2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</row>
    <row r="128" spans="1:14" x14ac:dyDescent="0.2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</row>
    <row r="129" spans="1:14" x14ac:dyDescent="0.2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</row>
    <row r="130" spans="1:14" x14ac:dyDescent="0.2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</row>
    <row r="131" spans="1:14" x14ac:dyDescent="0.2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</row>
    <row r="132" spans="1:14" x14ac:dyDescent="0.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</row>
    <row r="133" spans="1:14" x14ac:dyDescent="0.2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</row>
    <row r="134" spans="1:14" x14ac:dyDescent="0.2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</row>
    <row r="135" spans="1:14" x14ac:dyDescent="0.2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</row>
    <row r="136" spans="1:14" x14ac:dyDescent="0.2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</row>
    <row r="137" spans="1:14" x14ac:dyDescent="0.2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</row>
    <row r="138" spans="1:14" x14ac:dyDescent="0.2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</row>
    <row r="139" spans="1:14" x14ac:dyDescent="0.2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</row>
    <row r="140" spans="1:14" x14ac:dyDescent="0.2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</row>
    <row r="141" spans="1:14" x14ac:dyDescent="0.2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</row>
    <row r="142" spans="1:14" x14ac:dyDescent="0.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</row>
    <row r="143" spans="1:14" x14ac:dyDescent="0.2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</row>
    <row r="144" spans="1:14" x14ac:dyDescent="0.2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</row>
    <row r="145" spans="1:14" x14ac:dyDescent="0.2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</row>
    <row r="146" spans="1:14" x14ac:dyDescent="0.2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</row>
    <row r="147" spans="1:14" x14ac:dyDescent="0.2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</row>
    <row r="148" spans="1:14" x14ac:dyDescent="0.2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</row>
    <row r="149" spans="1:14" x14ac:dyDescent="0.2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</row>
    <row r="150" spans="1:14" x14ac:dyDescent="0.2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</row>
    <row r="151" spans="1:14" x14ac:dyDescent="0.2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</row>
    <row r="152" spans="1:14" x14ac:dyDescent="0.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</row>
    <row r="153" spans="1:14" x14ac:dyDescent="0.2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</row>
    <row r="154" spans="1:14" x14ac:dyDescent="0.2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</row>
    <row r="155" spans="1:14" x14ac:dyDescent="0.2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</row>
    <row r="156" spans="1:14" x14ac:dyDescent="0.2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</row>
    <row r="157" spans="1:14" x14ac:dyDescent="0.2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</row>
    <row r="158" spans="1:14" x14ac:dyDescent="0.2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</row>
    <row r="159" spans="1:14" x14ac:dyDescent="0.2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</row>
    <row r="160" spans="1:14" x14ac:dyDescent="0.2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</row>
    <row r="161" spans="1:14" x14ac:dyDescent="0.2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</row>
  </sheetData>
  <sheetProtection password="C8B3" sheet="1" objects="1" scenarios="1" selectLockedCells="1" selectUnlockedCells="1"/>
  <phoneticPr fontId="6" type="noConversion"/>
  <pageMargins left="0.5" right="0.5" top="0.75" bottom="0.75" header="0.5" footer="0.5"/>
  <pageSetup scale="6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Y94"/>
  <sheetViews>
    <sheetView showGridLines="0" showRowColHeaders="0" tabSelected="1" workbookViewId="0">
      <selection activeCell="C3" sqref="C3:E3"/>
    </sheetView>
  </sheetViews>
  <sheetFormatPr defaultRowHeight="12.75" x14ac:dyDescent="0.2"/>
  <cols>
    <col min="1" max="1" width="10" style="57" customWidth="1"/>
    <col min="2" max="2" width="9.7109375" style="57" customWidth="1"/>
    <col min="3" max="3" width="10.7109375" style="57" customWidth="1"/>
    <col min="4" max="4" width="12.42578125" style="57" customWidth="1"/>
    <col min="5" max="5" width="4" style="57" customWidth="1"/>
    <col min="6" max="6" width="5.7109375" style="57" customWidth="1"/>
    <col min="7" max="7" width="10.7109375" style="57" customWidth="1"/>
    <col min="8" max="8" width="3.7109375" style="57" customWidth="1"/>
    <col min="9" max="9" width="16" style="57" customWidth="1"/>
    <col min="10" max="10" width="5.140625" style="57" customWidth="1"/>
    <col min="11" max="11" width="3.7109375" style="57" customWidth="1"/>
    <col min="12" max="12" width="9.140625" style="57"/>
    <col min="13" max="13" width="5.5703125" style="57" customWidth="1"/>
    <col min="14" max="14" width="3.28515625" style="57" customWidth="1"/>
    <col min="15" max="15" width="10.140625" style="57" customWidth="1"/>
    <col min="16" max="16" width="9.85546875" style="57" customWidth="1"/>
    <col min="17" max="17" width="9.140625" style="57"/>
    <col min="18" max="18" width="9.140625" style="57" hidden="1" customWidth="1"/>
    <col min="19" max="16384" width="9.140625" style="57"/>
  </cols>
  <sheetData>
    <row r="1" spans="1:18" ht="18" x14ac:dyDescent="0.2">
      <c r="A1" s="173" t="s">
        <v>217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5"/>
      <c r="Q1" s="54"/>
      <c r="R1" s="54"/>
    </row>
    <row r="2" spans="1:18" ht="12" customHeight="1" x14ac:dyDescent="0.2">
      <c r="A2" s="176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8"/>
    </row>
    <row r="3" spans="1:18" ht="12" customHeight="1" x14ac:dyDescent="0.2">
      <c r="A3" s="176" t="s">
        <v>0</v>
      </c>
      <c r="B3" s="177"/>
      <c r="C3" s="179"/>
      <c r="D3" s="179"/>
      <c r="E3" s="180"/>
      <c r="F3" s="61"/>
      <c r="G3" s="177"/>
      <c r="H3" s="177"/>
      <c r="I3" s="62" t="s">
        <v>1</v>
      </c>
      <c r="J3" s="179"/>
      <c r="K3" s="179"/>
      <c r="L3" s="179"/>
      <c r="M3" s="180"/>
      <c r="N3" s="180"/>
      <c r="O3" s="177"/>
      <c r="P3" s="178"/>
    </row>
    <row r="4" spans="1:18" ht="8.1" customHeight="1" x14ac:dyDescent="0.2">
      <c r="A4" s="58"/>
      <c r="B4" s="59"/>
      <c r="C4" s="174"/>
      <c r="D4" s="174"/>
      <c r="E4" s="174"/>
      <c r="F4" s="59"/>
      <c r="G4" s="59"/>
      <c r="H4" s="59"/>
      <c r="I4" s="59"/>
      <c r="J4" s="174"/>
      <c r="K4" s="174"/>
      <c r="L4" s="174"/>
      <c r="M4" s="174"/>
      <c r="N4" s="174"/>
      <c r="O4" s="59"/>
      <c r="P4" s="60"/>
      <c r="R4" s="167">
        <v>1</v>
      </c>
    </row>
    <row r="5" spans="1:18" ht="12" customHeight="1" x14ac:dyDescent="0.2">
      <c r="A5" s="176" t="s">
        <v>2</v>
      </c>
      <c r="B5" s="177"/>
      <c r="C5" s="181"/>
      <c r="D5" s="181"/>
      <c r="E5" s="182"/>
      <c r="F5" s="47"/>
      <c r="G5" s="177"/>
      <c r="H5" s="177"/>
      <c r="I5" s="62" t="s">
        <v>3</v>
      </c>
      <c r="J5" s="179"/>
      <c r="K5" s="179"/>
      <c r="L5" s="179"/>
      <c r="M5" s="180"/>
      <c r="N5" s="180"/>
      <c r="O5" s="177"/>
      <c r="P5" s="178"/>
    </row>
    <row r="6" spans="1:18" ht="8.1" customHeight="1" x14ac:dyDescent="0.2">
      <c r="A6" s="58"/>
      <c r="B6" s="59"/>
      <c r="C6" s="177"/>
      <c r="D6" s="177"/>
      <c r="E6" s="177"/>
      <c r="F6" s="59"/>
      <c r="G6" s="59"/>
      <c r="H6" s="59"/>
      <c r="I6" s="59"/>
      <c r="J6" s="174"/>
      <c r="K6" s="174"/>
      <c r="L6" s="174"/>
      <c r="M6" s="174"/>
      <c r="N6" s="174"/>
      <c r="O6" s="59"/>
      <c r="P6" s="60"/>
    </row>
    <row r="7" spans="1:18" ht="12" customHeight="1" x14ac:dyDescent="0.2">
      <c r="A7" s="176" t="s">
        <v>4</v>
      </c>
      <c r="B7" s="177"/>
      <c r="C7" s="179"/>
      <c r="D7" s="179"/>
      <c r="E7" s="180"/>
      <c r="F7" s="61"/>
      <c r="G7" s="177"/>
      <c r="H7" s="177"/>
      <c r="I7" s="62" t="s">
        <v>5</v>
      </c>
      <c r="J7" s="179"/>
      <c r="K7" s="179"/>
      <c r="L7" s="179"/>
      <c r="M7" s="180"/>
      <c r="N7" s="180"/>
      <c r="O7" s="177"/>
      <c r="P7" s="178"/>
    </row>
    <row r="8" spans="1:18" ht="8.1" customHeight="1" x14ac:dyDescent="0.2">
      <c r="A8" s="58"/>
      <c r="B8" s="59"/>
      <c r="C8" s="174"/>
      <c r="D8" s="174"/>
      <c r="E8" s="59"/>
      <c r="F8" s="59"/>
      <c r="G8" s="59"/>
      <c r="H8" s="59"/>
      <c r="I8" s="59"/>
      <c r="J8" s="174"/>
      <c r="K8" s="174"/>
      <c r="L8" s="174"/>
      <c r="M8" s="174"/>
      <c r="N8" s="174"/>
      <c r="O8" s="59"/>
      <c r="P8" s="60"/>
    </row>
    <row r="9" spans="1:18" ht="12" customHeight="1" x14ac:dyDescent="0.2">
      <c r="A9" s="58"/>
      <c r="B9" s="59" t="s">
        <v>6</v>
      </c>
      <c r="C9" s="63">
        <f ca="1">TODAY()</f>
        <v>41730</v>
      </c>
      <c r="D9" s="59"/>
      <c r="E9" s="177"/>
      <c r="F9" s="177"/>
      <c r="G9" s="177"/>
      <c r="H9" s="177"/>
      <c r="I9" s="62" t="s">
        <v>7</v>
      </c>
      <c r="J9" s="4"/>
      <c r="K9" s="59" t="s">
        <v>8</v>
      </c>
      <c r="L9" s="59"/>
      <c r="M9" s="177"/>
      <c r="N9" s="177"/>
      <c r="O9" s="177"/>
      <c r="P9" s="178"/>
    </row>
    <row r="10" spans="1:18" ht="8.1" customHeight="1" x14ac:dyDescent="0.2">
      <c r="A10" s="58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60"/>
    </row>
    <row r="11" spans="1:18" ht="12" customHeight="1" x14ac:dyDescent="0.2">
      <c r="A11" s="183" t="s">
        <v>103</v>
      </c>
      <c r="B11" s="184"/>
      <c r="C11" s="6"/>
      <c r="D11" s="184" t="s">
        <v>9</v>
      </c>
      <c r="E11" s="184"/>
      <c r="F11" s="187"/>
      <c r="G11" s="187"/>
      <c r="H11" s="65" t="s">
        <v>208</v>
      </c>
      <c r="I11" s="62" t="s">
        <v>10</v>
      </c>
      <c r="J11" s="7"/>
      <c r="K11" s="62" t="s">
        <v>11</v>
      </c>
      <c r="L11" s="7"/>
      <c r="M11" s="59" t="s">
        <v>8</v>
      </c>
      <c r="N11" s="185" t="str">
        <f>IF(L11+L12=J9," ","Total Days Must = Storage Period!")</f>
        <v xml:space="preserve"> </v>
      </c>
      <c r="O11" s="185"/>
      <c r="P11" s="186"/>
    </row>
    <row r="12" spans="1:18" ht="12" customHeight="1" x14ac:dyDescent="0.2">
      <c r="A12" s="183"/>
      <c r="B12" s="177"/>
      <c r="C12" s="177"/>
      <c r="D12" s="177"/>
      <c r="E12" s="177"/>
      <c r="F12" s="177"/>
      <c r="G12" s="177"/>
      <c r="H12" s="177"/>
      <c r="I12" s="177"/>
      <c r="J12" s="8"/>
      <c r="K12" s="62" t="s">
        <v>11</v>
      </c>
      <c r="L12" s="8"/>
      <c r="M12" s="59" t="s">
        <v>8</v>
      </c>
      <c r="N12" s="185"/>
      <c r="O12" s="185"/>
      <c r="P12" s="186"/>
    </row>
    <row r="13" spans="1:18" ht="5.0999999999999996" customHeight="1" x14ac:dyDescent="0.2">
      <c r="A13" s="64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60"/>
    </row>
    <row r="14" spans="1:18" ht="12" customHeight="1" x14ac:dyDescent="0.2">
      <c r="A14" s="183" t="s">
        <v>12</v>
      </c>
      <c r="B14" s="184"/>
      <c r="C14" s="6"/>
      <c r="D14" s="184" t="s">
        <v>9</v>
      </c>
      <c r="E14" s="184"/>
      <c r="F14" s="187"/>
      <c r="G14" s="187"/>
      <c r="H14" s="65" t="s">
        <v>208</v>
      </c>
      <c r="I14" s="62" t="s">
        <v>10</v>
      </c>
      <c r="J14" s="7"/>
      <c r="K14" s="62" t="s">
        <v>11</v>
      </c>
      <c r="L14" s="7"/>
      <c r="M14" s="59" t="s">
        <v>8</v>
      </c>
      <c r="N14" s="59"/>
      <c r="O14" s="59"/>
      <c r="P14" s="60"/>
    </row>
    <row r="15" spans="1:18" ht="12" customHeight="1" x14ac:dyDescent="0.2">
      <c r="A15" s="183"/>
      <c r="B15" s="177"/>
      <c r="C15" s="177"/>
      <c r="D15" s="177"/>
      <c r="E15" s="177"/>
      <c r="F15" s="177"/>
      <c r="G15" s="177"/>
      <c r="H15" s="177"/>
      <c r="I15" s="177"/>
      <c r="J15" s="8"/>
      <c r="K15" s="62" t="s">
        <v>11</v>
      </c>
      <c r="L15" s="8"/>
      <c r="M15" s="59" t="s">
        <v>8</v>
      </c>
      <c r="N15" s="177"/>
      <c r="O15" s="188"/>
      <c r="P15" s="189"/>
    </row>
    <row r="16" spans="1:18" ht="5.0999999999999996" customHeight="1" x14ac:dyDescent="0.2">
      <c r="A16" s="64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60"/>
    </row>
    <row r="17" spans="1:21" ht="12" customHeight="1" x14ac:dyDescent="0.2">
      <c r="A17" s="183" t="s">
        <v>13</v>
      </c>
      <c r="B17" s="184"/>
      <c r="C17" s="6"/>
      <c r="D17" s="184" t="s">
        <v>9</v>
      </c>
      <c r="E17" s="184"/>
      <c r="F17" s="187"/>
      <c r="G17" s="187"/>
      <c r="H17" s="65" t="s">
        <v>208</v>
      </c>
      <c r="I17" s="62" t="s">
        <v>10</v>
      </c>
      <c r="J17" s="7"/>
      <c r="K17" s="62" t="s">
        <v>11</v>
      </c>
      <c r="L17" s="7"/>
      <c r="M17" s="59" t="s">
        <v>8</v>
      </c>
      <c r="N17" s="59"/>
      <c r="O17" s="59"/>
      <c r="P17" s="60"/>
    </row>
    <row r="18" spans="1:21" ht="12" customHeight="1" x14ac:dyDescent="0.2">
      <c r="A18" s="183"/>
      <c r="B18" s="177"/>
      <c r="C18" s="177"/>
      <c r="D18" s="177"/>
      <c r="E18" s="177"/>
      <c r="F18" s="177"/>
      <c r="G18" s="177"/>
      <c r="H18" s="177"/>
      <c r="I18" s="177"/>
      <c r="J18" s="8"/>
      <c r="K18" s="62" t="s">
        <v>11</v>
      </c>
      <c r="L18" s="8"/>
      <c r="M18" s="59" t="s">
        <v>8</v>
      </c>
      <c r="N18" s="177"/>
      <c r="O18" s="177"/>
      <c r="P18" s="178"/>
    </row>
    <row r="19" spans="1:21" ht="5.0999999999999996" customHeight="1" x14ac:dyDescent="0.2">
      <c r="A19" s="64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60"/>
    </row>
    <row r="20" spans="1:21" ht="12" customHeight="1" x14ac:dyDescent="0.2">
      <c r="A20" s="183" t="s">
        <v>14</v>
      </c>
      <c r="B20" s="184"/>
      <c r="C20" s="6"/>
      <c r="D20" s="184" t="s">
        <v>9</v>
      </c>
      <c r="E20" s="184"/>
      <c r="F20" s="187"/>
      <c r="G20" s="187"/>
      <c r="H20" s="65" t="s">
        <v>208</v>
      </c>
      <c r="I20" s="62" t="s">
        <v>10</v>
      </c>
      <c r="J20" s="7"/>
      <c r="K20" s="62" t="s">
        <v>11</v>
      </c>
      <c r="L20" s="7"/>
      <c r="M20" s="59" t="s">
        <v>8</v>
      </c>
      <c r="N20" s="177"/>
      <c r="O20" s="177"/>
      <c r="P20" s="178"/>
    </row>
    <row r="21" spans="1:21" ht="8.1" customHeight="1" x14ac:dyDescent="0.2">
      <c r="A21" s="64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60"/>
    </row>
    <row r="22" spans="1:21" ht="12" customHeight="1" x14ac:dyDescent="0.2">
      <c r="A22" s="67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4" t="s">
        <v>192</v>
      </c>
      <c r="N22" s="68" t="s">
        <v>20</v>
      </c>
      <c r="O22" s="9"/>
      <c r="P22" s="60" t="s">
        <v>15</v>
      </c>
    </row>
    <row r="23" spans="1:21" ht="12" customHeight="1" x14ac:dyDescent="0.2">
      <c r="A23" s="69"/>
      <c r="B23" s="70"/>
      <c r="C23" s="70"/>
      <c r="D23" s="184" t="s">
        <v>222</v>
      </c>
      <c r="E23" s="184"/>
      <c r="F23" s="184"/>
      <c r="G23" s="184"/>
      <c r="H23" s="184"/>
      <c r="I23" s="184"/>
      <c r="J23" s="184"/>
      <c r="K23" s="184"/>
      <c r="L23" s="184"/>
      <c r="M23" s="184"/>
      <c r="N23" s="70"/>
      <c r="O23" s="70"/>
      <c r="P23" s="71"/>
    </row>
    <row r="24" spans="1:21" ht="5.0999999999999996" customHeight="1" x14ac:dyDescent="0.2">
      <c r="A24" s="69"/>
      <c r="B24" s="70"/>
      <c r="C24" s="70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70"/>
      <c r="O24" s="70"/>
      <c r="P24" s="71"/>
    </row>
    <row r="25" spans="1:21" ht="12" customHeight="1" x14ac:dyDescent="0.2">
      <c r="A25" s="69"/>
      <c r="B25" s="70"/>
      <c r="C25" s="70"/>
      <c r="D25" s="62"/>
      <c r="E25" s="62"/>
      <c r="F25" s="62"/>
      <c r="G25" s="62"/>
      <c r="H25" s="62"/>
      <c r="I25" s="62"/>
      <c r="J25" s="62"/>
      <c r="K25" s="62"/>
      <c r="L25" s="62"/>
      <c r="M25" s="62" t="s">
        <v>193</v>
      </c>
      <c r="N25" s="70" t="s">
        <v>20</v>
      </c>
      <c r="O25" s="9"/>
      <c r="P25" s="60" t="s">
        <v>15</v>
      </c>
    </row>
    <row r="26" spans="1:21" ht="12" customHeight="1" x14ac:dyDescent="0.2">
      <c r="A26" s="69"/>
      <c r="B26" s="70"/>
      <c r="C26" s="70"/>
      <c r="D26" s="62"/>
      <c r="E26" s="62"/>
      <c r="F26" s="62"/>
      <c r="G26" s="62"/>
      <c r="H26" s="62"/>
      <c r="I26" s="62"/>
      <c r="J26" s="62"/>
      <c r="K26" s="62"/>
      <c r="L26" s="62"/>
      <c r="M26" s="29" t="s">
        <v>222</v>
      </c>
      <c r="N26" s="62"/>
      <c r="O26" s="62"/>
      <c r="P26" s="72"/>
      <c r="Q26" s="62"/>
      <c r="R26" s="62"/>
      <c r="S26" s="62"/>
      <c r="T26" s="62"/>
      <c r="U26" s="62"/>
    </row>
    <row r="27" spans="1:21" ht="5.0999999999999996" customHeight="1" x14ac:dyDescent="0.2">
      <c r="A27" s="69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1"/>
    </row>
    <row r="28" spans="1:21" ht="12" customHeight="1" x14ac:dyDescent="0.2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62" t="s">
        <v>194</v>
      </c>
      <c r="N28" s="70" t="s">
        <v>20</v>
      </c>
      <c r="O28" s="9"/>
      <c r="P28" s="60" t="s">
        <v>108</v>
      </c>
    </row>
    <row r="29" spans="1:21" ht="5.0999999999999996" customHeight="1" x14ac:dyDescent="0.2">
      <c r="A29" s="69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1"/>
    </row>
    <row r="30" spans="1:21" ht="12" customHeight="1" x14ac:dyDescent="0.2">
      <c r="A30" s="69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64" t="s">
        <v>195</v>
      </c>
      <c r="N30" s="70" t="s">
        <v>20</v>
      </c>
      <c r="O30" s="171"/>
      <c r="P30" s="73" t="s">
        <v>16</v>
      </c>
    </row>
    <row r="31" spans="1:21" ht="5.0999999999999996" customHeight="1" x14ac:dyDescent="0.2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1"/>
    </row>
    <row r="32" spans="1:21" ht="12" customHeight="1" x14ac:dyDescent="0.2">
      <c r="A32" s="69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62" t="s">
        <v>197</v>
      </c>
      <c r="N32" s="70" t="s">
        <v>20</v>
      </c>
      <c r="O32" s="9"/>
      <c r="P32" s="71" t="s">
        <v>108</v>
      </c>
    </row>
    <row r="33" spans="1:16" ht="5.0999999999999996" customHeight="1" x14ac:dyDescent="0.2">
      <c r="A33" s="69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1"/>
    </row>
    <row r="34" spans="1:16" ht="12" customHeight="1" x14ac:dyDescent="0.2">
      <c r="A34" s="67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4" t="s">
        <v>196</v>
      </c>
      <c r="N34" s="74" t="s">
        <v>20</v>
      </c>
      <c r="O34" s="171"/>
      <c r="P34" s="60" t="s">
        <v>16</v>
      </c>
    </row>
    <row r="35" spans="1:16" ht="5.0999999999999996" customHeight="1" x14ac:dyDescent="0.2">
      <c r="A35" s="64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75"/>
      <c r="O35" s="76"/>
      <c r="P35" s="60"/>
    </row>
    <row r="36" spans="1:16" ht="12" customHeight="1" x14ac:dyDescent="0.2">
      <c r="A36" s="58"/>
      <c r="B36" s="59"/>
      <c r="C36" s="59"/>
      <c r="D36" s="59"/>
      <c r="E36" s="59"/>
      <c r="F36" s="59"/>
      <c r="G36" s="59"/>
      <c r="H36" s="59"/>
      <c r="I36" s="59"/>
      <c r="J36" s="66"/>
      <c r="K36" s="62"/>
      <c r="L36" s="62"/>
      <c r="M36" s="62" t="s">
        <v>150</v>
      </c>
      <c r="N36" s="74" t="s">
        <v>20</v>
      </c>
      <c r="O36" s="171"/>
      <c r="P36" s="60" t="s">
        <v>16</v>
      </c>
    </row>
    <row r="37" spans="1:16" ht="12" customHeight="1" x14ac:dyDescent="0.2">
      <c r="A37" s="190" t="s">
        <v>17</v>
      </c>
      <c r="B37" s="177"/>
      <c r="C37" s="177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60"/>
    </row>
    <row r="38" spans="1:16" ht="12" customHeight="1" x14ac:dyDescent="0.2">
      <c r="A38" s="10">
        <f>C11</f>
        <v>0</v>
      </c>
      <c r="B38" s="62" t="s">
        <v>106</v>
      </c>
      <c r="C38" s="11">
        <f>F11/1000</f>
        <v>0</v>
      </c>
      <c r="D38" s="59" t="s">
        <v>18</v>
      </c>
      <c r="E38" s="70" t="s">
        <v>19</v>
      </c>
      <c r="F38" s="7"/>
      <c r="G38" s="78" t="s">
        <v>209</v>
      </c>
      <c r="H38" s="65" t="s">
        <v>19</v>
      </c>
      <c r="I38" s="62" t="s">
        <v>102</v>
      </c>
      <c r="J38" s="3">
        <f>J11</f>
        <v>0</v>
      </c>
      <c r="K38" s="62" t="s">
        <v>11</v>
      </c>
      <c r="L38" s="3">
        <f>L11</f>
        <v>0</v>
      </c>
      <c r="M38" s="59" t="s">
        <v>8</v>
      </c>
      <c r="N38" s="79" t="s">
        <v>20</v>
      </c>
      <c r="O38" s="12">
        <f>A38*C38*F38*(J38/100)*L38</f>
        <v>0</v>
      </c>
      <c r="P38" s="60" t="s">
        <v>15</v>
      </c>
    </row>
    <row r="39" spans="1:16" ht="12" customHeight="1" x14ac:dyDescent="0.2">
      <c r="A39" s="176"/>
      <c r="B39" s="177"/>
      <c r="C39" s="177"/>
      <c r="D39" s="177"/>
      <c r="E39" s="177"/>
      <c r="F39" s="177"/>
      <c r="G39" s="177"/>
      <c r="H39" s="177"/>
      <c r="I39" s="177"/>
      <c r="J39" s="3">
        <f>J12</f>
        <v>0</v>
      </c>
      <c r="K39" s="62" t="s">
        <v>11</v>
      </c>
      <c r="L39" s="3">
        <f>L12</f>
        <v>0</v>
      </c>
      <c r="M39" s="59" t="s">
        <v>8</v>
      </c>
      <c r="N39" s="79" t="s">
        <v>20</v>
      </c>
      <c r="O39" s="12">
        <f>A38*C38*F38*(J39/100)*L39</f>
        <v>0</v>
      </c>
      <c r="P39" s="60" t="s">
        <v>15</v>
      </c>
    </row>
    <row r="40" spans="1:16" ht="5.0999999999999996" customHeight="1" x14ac:dyDescent="0.2">
      <c r="A40" s="58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60"/>
    </row>
    <row r="41" spans="1:16" ht="12" customHeight="1" x14ac:dyDescent="0.2">
      <c r="A41" s="10">
        <f>C14</f>
        <v>0</v>
      </c>
      <c r="B41" s="62" t="s">
        <v>107</v>
      </c>
      <c r="C41" s="11">
        <f>F14/1000</f>
        <v>0</v>
      </c>
      <c r="D41" s="59" t="s">
        <v>18</v>
      </c>
      <c r="E41" s="70" t="s">
        <v>19</v>
      </c>
      <c r="F41" s="7"/>
      <c r="G41" s="78" t="s">
        <v>209</v>
      </c>
      <c r="H41" s="65" t="s">
        <v>19</v>
      </c>
      <c r="I41" s="62" t="s">
        <v>102</v>
      </c>
      <c r="J41" s="3">
        <f>J14</f>
        <v>0</v>
      </c>
      <c r="K41" s="62" t="s">
        <v>11</v>
      </c>
      <c r="L41" s="3">
        <f>L14</f>
        <v>0</v>
      </c>
      <c r="M41" s="59" t="s">
        <v>8</v>
      </c>
      <c r="N41" s="79" t="s">
        <v>20</v>
      </c>
      <c r="O41" s="12">
        <f>A41*C41*F41*(J41/100)*L41</f>
        <v>0</v>
      </c>
      <c r="P41" s="60" t="s">
        <v>15</v>
      </c>
    </row>
    <row r="42" spans="1:16" ht="12" customHeight="1" x14ac:dyDescent="0.2">
      <c r="A42" s="176"/>
      <c r="B42" s="177"/>
      <c r="C42" s="177"/>
      <c r="D42" s="177"/>
      <c r="E42" s="177"/>
      <c r="F42" s="177"/>
      <c r="G42" s="177"/>
      <c r="H42" s="177"/>
      <c r="I42" s="177"/>
      <c r="J42" s="3">
        <f>J15</f>
        <v>0</v>
      </c>
      <c r="K42" s="62" t="s">
        <v>11</v>
      </c>
      <c r="L42" s="3">
        <f>L15</f>
        <v>0</v>
      </c>
      <c r="M42" s="59" t="s">
        <v>8</v>
      </c>
      <c r="N42" s="79" t="s">
        <v>20</v>
      </c>
      <c r="O42" s="12">
        <f>A41*C41*F41*(J42/100)*L42</f>
        <v>0</v>
      </c>
      <c r="P42" s="60" t="s">
        <v>15</v>
      </c>
    </row>
    <row r="43" spans="1:16" ht="5.0999999999999996" customHeight="1" x14ac:dyDescent="0.2">
      <c r="A43" s="58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60"/>
    </row>
    <row r="44" spans="1:16" ht="12" customHeight="1" x14ac:dyDescent="0.2">
      <c r="A44" s="10">
        <f>C17</f>
        <v>0</v>
      </c>
      <c r="B44" s="62" t="s">
        <v>105</v>
      </c>
      <c r="C44" s="11">
        <f>F17/1000</f>
        <v>0</v>
      </c>
      <c r="D44" s="59" t="s">
        <v>18</v>
      </c>
      <c r="E44" s="70" t="s">
        <v>19</v>
      </c>
      <c r="F44" s="7"/>
      <c r="G44" s="78" t="s">
        <v>209</v>
      </c>
      <c r="H44" s="65" t="s">
        <v>19</v>
      </c>
      <c r="I44" s="62" t="s">
        <v>102</v>
      </c>
      <c r="J44" s="3">
        <f>J17</f>
        <v>0</v>
      </c>
      <c r="K44" s="62" t="s">
        <v>11</v>
      </c>
      <c r="L44" s="3">
        <f>L17</f>
        <v>0</v>
      </c>
      <c r="M44" s="59" t="s">
        <v>8</v>
      </c>
      <c r="N44" s="79" t="s">
        <v>20</v>
      </c>
      <c r="O44" s="12">
        <f>A44*C44*F44*(J44/100)*L44</f>
        <v>0</v>
      </c>
      <c r="P44" s="60" t="s">
        <v>15</v>
      </c>
    </row>
    <row r="45" spans="1:16" ht="12" customHeight="1" x14ac:dyDescent="0.2">
      <c r="A45" s="176"/>
      <c r="B45" s="177"/>
      <c r="C45" s="177"/>
      <c r="D45" s="177"/>
      <c r="E45" s="177"/>
      <c r="F45" s="177"/>
      <c r="G45" s="177"/>
      <c r="H45" s="177"/>
      <c r="I45" s="177"/>
      <c r="J45" s="3">
        <f>J18</f>
        <v>0</v>
      </c>
      <c r="K45" s="62" t="s">
        <v>11</v>
      </c>
      <c r="L45" s="3">
        <f>L18</f>
        <v>0</v>
      </c>
      <c r="M45" s="59" t="s">
        <v>8</v>
      </c>
      <c r="N45" s="79" t="s">
        <v>20</v>
      </c>
      <c r="O45" s="12">
        <f>A44*C44*F44*(J45/100)*L45</f>
        <v>0</v>
      </c>
      <c r="P45" s="60" t="s">
        <v>15</v>
      </c>
    </row>
    <row r="46" spans="1:16" ht="5.0999999999999996" customHeight="1" x14ac:dyDescent="0.2">
      <c r="A46" s="58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60"/>
    </row>
    <row r="47" spans="1:16" ht="12" customHeight="1" x14ac:dyDescent="0.2">
      <c r="A47" s="10">
        <f>C20</f>
        <v>0</v>
      </c>
      <c r="B47" s="62" t="s">
        <v>104</v>
      </c>
      <c r="C47" s="11">
        <f>F20/1000</f>
        <v>0</v>
      </c>
      <c r="D47" s="59" t="s">
        <v>18</v>
      </c>
      <c r="E47" s="70" t="s">
        <v>19</v>
      </c>
      <c r="F47" s="7"/>
      <c r="G47" s="78" t="s">
        <v>209</v>
      </c>
      <c r="H47" s="65" t="s">
        <v>19</v>
      </c>
      <c r="I47" s="62" t="s">
        <v>102</v>
      </c>
      <c r="J47" s="3">
        <f>J20</f>
        <v>0</v>
      </c>
      <c r="K47" s="62" t="s">
        <v>11</v>
      </c>
      <c r="L47" s="3">
        <f>L20</f>
        <v>0</v>
      </c>
      <c r="M47" s="59" t="s">
        <v>8</v>
      </c>
      <c r="N47" s="79" t="s">
        <v>20</v>
      </c>
      <c r="O47" s="12">
        <f>A47*C47*F47*(J47/100)*L47</f>
        <v>0</v>
      </c>
      <c r="P47" s="60" t="s">
        <v>15</v>
      </c>
    </row>
    <row r="48" spans="1:16" ht="6.75" customHeight="1" x14ac:dyDescent="0.2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60"/>
    </row>
    <row r="49" spans="1:17" ht="12" customHeight="1" x14ac:dyDescent="0.2">
      <c r="A49" s="190" t="s">
        <v>180</v>
      </c>
      <c r="B49" s="193"/>
      <c r="C49" s="193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60"/>
    </row>
    <row r="50" spans="1:17" ht="12" customHeight="1" x14ac:dyDescent="0.2">
      <c r="A50" s="83"/>
      <c r="B50" s="52"/>
      <c r="C50" s="84" t="s">
        <v>181</v>
      </c>
      <c r="D50" s="84"/>
      <c r="E50" s="70" t="s">
        <v>19</v>
      </c>
      <c r="F50" s="70"/>
      <c r="G50" s="59" t="s">
        <v>182</v>
      </c>
      <c r="H50" s="59"/>
      <c r="I50" s="59"/>
      <c r="J50" s="70" t="s">
        <v>11</v>
      </c>
      <c r="K50" s="62"/>
      <c r="L50" s="4"/>
      <c r="M50" s="59" t="s">
        <v>8</v>
      </c>
      <c r="N50" s="70" t="s">
        <v>20</v>
      </c>
      <c r="O50" s="85">
        <f>B50*L50/7.48</f>
        <v>0</v>
      </c>
      <c r="P50" s="60" t="s">
        <v>15</v>
      </c>
    </row>
    <row r="51" spans="1:17" ht="8.1" customHeight="1" x14ac:dyDescent="0.2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60"/>
    </row>
    <row r="52" spans="1:17" ht="12" customHeight="1" x14ac:dyDescent="0.2">
      <c r="A52" s="190" t="s">
        <v>220</v>
      </c>
      <c r="B52" s="193"/>
      <c r="C52" s="193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60"/>
    </row>
    <row r="53" spans="1:17" ht="12" customHeight="1" x14ac:dyDescent="0.2">
      <c r="A53" s="58"/>
      <c r="B53" s="184" t="s">
        <v>221</v>
      </c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86" t="s">
        <v>20</v>
      </c>
      <c r="O53" s="12">
        <f>O22+O25</f>
        <v>0</v>
      </c>
      <c r="P53" s="60" t="s">
        <v>15</v>
      </c>
    </row>
    <row r="54" spans="1:17" ht="8.1" customHeight="1" x14ac:dyDescent="0.2">
      <c r="A54" s="58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60"/>
    </row>
    <row r="55" spans="1:17" ht="12" customHeight="1" x14ac:dyDescent="0.2">
      <c r="A55" s="77" t="s">
        <v>179</v>
      </c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60"/>
    </row>
    <row r="56" spans="1:17" ht="12" customHeight="1" x14ac:dyDescent="0.2">
      <c r="A56" s="183" t="s">
        <v>198</v>
      </c>
      <c r="B56" s="184"/>
      <c r="C56" s="13">
        <f>O28</f>
        <v>0</v>
      </c>
      <c r="D56" s="59" t="s">
        <v>108</v>
      </c>
      <c r="E56" s="70" t="s">
        <v>19</v>
      </c>
      <c r="F56" s="70"/>
      <c r="G56" s="172">
        <f>O30</f>
        <v>0</v>
      </c>
      <c r="H56" s="59" t="s">
        <v>202</v>
      </c>
      <c r="I56" s="59"/>
      <c r="J56" s="59"/>
      <c r="K56" s="59"/>
      <c r="L56" s="59"/>
      <c r="M56" s="59"/>
      <c r="N56" s="70" t="s">
        <v>20</v>
      </c>
      <c r="O56" s="12">
        <f>C56*G56/12</f>
        <v>0</v>
      </c>
      <c r="P56" s="60" t="s">
        <v>15</v>
      </c>
    </row>
    <row r="57" spans="1:17" ht="5.0999999999999996" customHeight="1" x14ac:dyDescent="0.2">
      <c r="A57" s="64"/>
      <c r="B57" s="62"/>
      <c r="C57" s="48"/>
      <c r="D57" s="61"/>
      <c r="E57" s="87"/>
      <c r="F57" s="87"/>
      <c r="G57" s="49"/>
      <c r="H57" s="59"/>
      <c r="I57" s="59"/>
      <c r="J57" s="59"/>
      <c r="K57" s="59"/>
      <c r="L57" s="59"/>
      <c r="M57" s="59"/>
      <c r="N57" s="70"/>
      <c r="O57" s="50"/>
      <c r="P57" s="60"/>
    </row>
    <row r="58" spans="1:17" ht="12" customHeight="1" x14ac:dyDescent="0.2">
      <c r="A58" s="64"/>
      <c r="B58" s="62" t="s">
        <v>199</v>
      </c>
      <c r="C58" s="13">
        <f>O32</f>
        <v>0</v>
      </c>
      <c r="D58" s="61" t="s">
        <v>108</v>
      </c>
      <c r="E58" s="87" t="s">
        <v>19</v>
      </c>
      <c r="F58" s="87"/>
      <c r="G58" s="172">
        <f>O34</f>
        <v>0</v>
      </c>
      <c r="H58" s="59" t="s">
        <v>202</v>
      </c>
      <c r="I58" s="59"/>
      <c r="J58" s="59"/>
      <c r="K58" s="59"/>
      <c r="L58" s="59"/>
      <c r="M58" s="59"/>
      <c r="N58" s="70"/>
      <c r="O58" s="12">
        <f>C58*G58/12</f>
        <v>0</v>
      </c>
      <c r="P58" s="60" t="s">
        <v>15</v>
      </c>
    </row>
    <row r="59" spans="1:17" ht="5.0999999999999996" customHeight="1" x14ac:dyDescent="0.2">
      <c r="A59" s="64"/>
      <c r="B59" s="62"/>
      <c r="C59" s="48"/>
      <c r="D59" s="61"/>
      <c r="E59" s="87"/>
      <c r="F59" s="87"/>
      <c r="G59" s="49"/>
      <c r="H59" s="59"/>
      <c r="I59" s="59"/>
      <c r="J59" s="59"/>
      <c r="K59" s="59"/>
      <c r="L59" s="59"/>
      <c r="M59" s="59"/>
      <c r="N59" s="70"/>
      <c r="O59" s="50"/>
      <c r="P59" s="60"/>
    </row>
    <row r="60" spans="1:17" ht="12" customHeight="1" thickBot="1" x14ac:dyDescent="0.25">
      <c r="A60" s="64"/>
      <c r="B60" s="62" t="s">
        <v>200</v>
      </c>
      <c r="C60" s="13">
        <f>O28+O32</f>
        <v>0</v>
      </c>
      <c r="D60" s="61" t="s">
        <v>108</v>
      </c>
      <c r="E60" s="87" t="s">
        <v>19</v>
      </c>
      <c r="F60" s="87"/>
      <c r="G60" s="172">
        <f>O36</f>
        <v>0</v>
      </c>
      <c r="H60" s="59" t="s">
        <v>201</v>
      </c>
      <c r="I60" s="59"/>
      <c r="J60" s="59"/>
      <c r="K60" s="59"/>
      <c r="L60" s="59"/>
      <c r="M60" s="59"/>
      <c r="N60" s="70"/>
      <c r="O60" s="51">
        <f>C60*G60/12</f>
        <v>0</v>
      </c>
      <c r="P60" s="60" t="s">
        <v>15</v>
      </c>
    </row>
    <row r="61" spans="1:17" ht="5.0999999999999996" customHeight="1" x14ac:dyDescent="0.2">
      <c r="A61" s="64"/>
      <c r="B61" s="62"/>
      <c r="C61" s="48"/>
      <c r="D61" s="61"/>
      <c r="E61" s="87"/>
      <c r="F61" s="87"/>
      <c r="G61" s="49"/>
      <c r="H61" s="59"/>
      <c r="I61" s="59"/>
      <c r="J61" s="59"/>
      <c r="K61" s="59"/>
      <c r="L61" s="59"/>
      <c r="M61" s="59"/>
      <c r="N61" s="70"/>
      <c r="O61" s="50"/>
      <c r="P61" s="60"/>
    </row>
    <row r="62" spans="1:17" ht="15" customHeight="1" x14ac:dyDescent="0.2">
      <c r="A62" s="88"/>
      <c r="B62" s="89"/>
      <c r="C62" s="89"/>
      <c r="D62" s="89"/>
      <c r="E62" s="89"/>
      <c r="F62" s="89"/>
      <c r="G62" s="89"/>
      <c r="H62" s="89"/>
      <c r="I62" s="89"/>
      <c r="J62" s="89"/>
      <c r="K62" s="191" t="s">
        <v>183</v>
      </c>
      <c r="L62" s="192"/>
      <c r="M62" s="192"/>
      <c r="N62" s="90" t="s">
        <v>20</v>
      </c>
      <c r="O62" s="14">
        <f>SUM(O38:O61)</f>
        <v>0</v>
      </c>
      <c r="P62" s="91" t="s">
        <v>15</v>
      </c>
    </row>
    <row r="63" spans="1:17" x14ac:dyDescent="0.2">
      <c r="Q63" s="54"/>
    </row>
    <row r="71" spans="17:25" x14ac:dyDescent="0.2">
      <c r="Q71" s="92"/>
      <c r="R71" s="92"/>
      <c r="S71" s="92"/>
      <c r="T71" s="92"/>
      <c r="U71" s="92"/>
      <c r="V71" s="92"/>
      <c r="W71" s="92"/>
      <c r="X71" s="92"/>
      <c r="Y71" s="92"/>
    </row>
    <row r="91" spans="17:25" ht="18" x14ac:dyDescent="0.25">
      <c r="Q91" s="93"/>
      <c r="R91" s="93"/>
      <c r="S91" s="93"/>
      <c r="T91" s="93"/>
      <c r="U91" s="93"/>
      <c r="V91" s="93"/>
      <c r="W91" s="93"/>
      <c r="X91" s="93"/>
      <c r="Y91" s="93"/>
    </row>
    <row r="93" spans="17:25" ht="18" x14ac:dyDescent="0.25">
      <c r="Q93" s="93"/>
      <c r="R93" s="93"/>
      <c r="S93" s="93"/>
      <c r="T93" s="93"/>
      <c r="U93" s="93"/>
      <c r="V93" s="93"/>
      <c r="W93" s="93"/>
      <c r="X93" s="93"/>
      <c r="Y93" s="93"/>
    </row>
    <row r="94" spans="17:25" ht="18" x14ac:dyDescent="0.25">
      <c r="Q94" s="93"/>
      <c r="R94" s="93"/>
      <c r="S94" s="93"/>
      <c r="T94" s="93"/>
      <c r="U94" s="93"/>
      <c r="V94" s="93"/>
      <c r="W94" s="93"/>
      <c r="X94" s="93"/>
      <c r="Y94" s="93"/>
    </row>
  </sheetData>
  <sheetProtection password="C8B3" sheet="1" objects="1" scenarios="1"/>
  <mergeCells count="54">
    <mergeCell ref="A37:C37"/>
    <mergeCell ref="D23:M23"/>
    <mergeCell ref="K62:M62"/>
    <mergeCell ref="A56:B56"/>
    <mergeCell ref="F20:G20"/>
    <mergeCell ref="A52:C52"/>
    <mergeCell ref="B53:M53"/>
    <mergeCell ref="A39:I39"/>
    <mergeCell ref="A42:I42"/>
    <mergeCell ref="A45:I45"/>
    <mergeCell ref="A49:C49"/>
    <mergeCell ref="A17:B17"/>
    <mergeCell ref="D17:E17"/>
    <mergeCell ref="A18:I18"/>
    <mergeCell ref="N18:P18"/>
    <mergeCell ref="A20:B20"/>
    <mergeCell ref="D20:E20"/>
    <mergeCell ref="N20:P20"/>
    <mergeCell ref="F17:G17"/>
    <mergeCell ref="A14:B14"/>
    <mergeCell ref="D14:E14"/>
    <mergeCell ref="A15:I15"/>
    <mergeCell ref="N15:P15"/>
    <mergeCell ref="F14:G14"/>
    <mergeCell ref="C8:D8"/>
    <mergeCell ref="J8:N8"/>
    <mergeCell ref="E9:H9"/>
    <mergeCell ref="M9:P9"/>
    <mergeCell ref="A11:B11"/>
    <mergeCell ref="D11:E11"/>
    <mergeCell ref="N11:P12"/>
    <mergeCell ref="A12:I12"/>
    <mergeCell ref="F11:G11"/>
    <mergeCell ref="O5:P5"/>
    <mergeCell ref="C6:E6"/>
    <mergeCell ref="J6:N6"/>
    <mergeCell ref="A7:B7"/>
    <mergeCell ref="C7:E7"/>
    <mergeCell ref="G7:H7"/>
    <mergeCell ref="J7:N7"/>
    <mergeCell ref="O7:P7"/>
    <mergeCell ref="C4:E4"/>
    <mergeCell ref="J4:N4"/>
    <mergeCell ref="A5:B5"/>
    <mergeCell ref="C5:E5"/>
    <mergeCell ref="G5:H5"/>
    <mergeCell ref="J5:N5"/>
    <mergeCell ref="A1:P1"/>
    <mergeCell ref="A2:P2"/>
    <mergeCell ref="A3:B3"/>
    <mergeCell ref="C3:E3"/>
    <mergeCell ref="G3:H3"/>
    <mergeCell ref="J3:N3"/>
    <mergeCell ref="O3:P3"/>
  </mergeCells>
  <phoneticPr fontId="6" type="noConversion"/>
  <pageMargins left="1.25" right="0.5" top="0.5" bottom="0.5" header="0.5" footer="0.25"/>
  <pageSetup scale="90" orientation="landscape" r:id="rId1"/>
  <headerFooter alignWithMargins="0">
    <oddFooter>&amp;LRevised 03-07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2</xdr:col>
                    <xdr:colOff>0</xdr:colOff>
                    <xdr:row>3</xdr:row>
                    <xdr:rowOff>76200</xdr:rowOff>
                  </from>
                  <to>
                    <xdr:col>5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3"/>
  <sheetViews>
    <sheetView showGridLines="0" showRowColHeaders="0" workbookViewId="0">
      <selection activeCell="D18" sqref="D18"/>
    </sheetView>
  </sheetViews>
  <sheetFormatPr defaultRowHeight="12.75" x14ac:dyDescent="0.2"/>
  <cols>
    <col min="1" max="3" width="9.140625" style="57"/>
    <col min="4" max="4" width="11.7109375" style="57" customWidth="1"/>
    <col min="5" max="5" width="3.5703125" style="57" customWidth="1"/>
    <col min="6" max="6" width="13.5703125" style="57" customWidth="1"/>
    <col min="7" max="7" width="4.7109375" style="57" customWidth="1"/>
    <col min="8" max="8" width="11.85546875" style="57" customWidth="1"/>
    <col min="9" max="9" width="7.85546875" style="57" customWidth="1"/>
    <col min="10" max="11" width="9.140625" style="57"/>
    <col min="12" max="12" width="6" style="57" customWidth="1"/>
    <col min="13" max="14" width="9.140625" style="57"/>
    <col min="15" max="15" width="10.140625" style="57" customWidth="1"/>
    <col min="16" max="16384" width="9.140625" style="57"/>
  </cols>
  <sheetData>
    <row r="1" spans="1:17" ht="18" x14ac:dyDescent="0.2">
      <c r="A1" s="173" t="s">
        <v>218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94"/>
    </row>
    <row r="2" spans="1:17" ht="12" customHeight="1" x14ac:dyDescent="0.2">
      <c r="A2" s="183" t="s">
        <v>0</v>
      </c>
      <c r="B2" s="184"/>
      <c r="C2" s="197">
        <f>'Structure Sizing Data'!C3:E3</f>
        <v>0</v>
      </c>
      <c r="D2" s="197"/>
      <c r="E2" s="59"/>
      <c r="F2" s="59" t="s">
        <v>7</v>
      </c>
      <c r="G2" s="198">
        <f>'Structure Sizing Data'!J9</f>
        <v>0</v>
      </c>
      <c r="H2" s="198"/>
      <c r="I2" s="59" t="s">
        <v>8</v>
      </c>
      <c r="J2" s="177"/>
      <c r="K2" s="177"/>
      <c r="L2" s="177"/>
      <c r="M2" s="177"/>
      <c r="N2" s="177"/>
      <c r="O2" s="60"/>
    </row>
    <row r="3" spans="1:17" ht="12" customHeight="1" x14ac:dyDescent="0.2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60"/>
    </row>
    <row r="4" spans="1:17" ht="14.1" customHeight="1" x14ac:dyDescent="0.2">
      <c r="A4" s="199" t="s">
        <v>186</v>
      </c>
      <c r="B4" s="200"/>
      <c r="C4" s="200"/>
      <c r="D4" s="200"/>
      <c r="E4" s="96"/>
      <c r="F4" s="15">
        <f>'Structure Sizing Data'!O62</f>
        <v>0</v>
      </c>
      <c r="G4" s="201" t="s">
        <v>15</v>
      </c>
      <c r="H4" s="201"/>
      <c r="I4" s="177"/>
      <c r="J4" s="177"/>
      <c r="K4" s="177"/>
      <c r="L4" s="177"/>
      <c r="M4" s="177"/>
      <c r="N4" s="177"/>
      <c r="O4" s="60"/>
    </row>
    <row r="5" spans="1:17" ht="12" customHeight="1" x14ac:dyDescent="0.2">
      <c r="A5" s="176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60"/>
    </row>
    <row r="6" spans="1:17" ht="12" customHeight="1" x14ac:dyDescent="0.2">
      <c r="A6" s="176" t="s">
        <v>115</v>
      </c>
      <c r="B6" s="177"/>
      <c r="C6" s="177"/>
      <c r="D6" s="177"/>
      <c r="E6" s="177"/>
      <c r="F6" s="177"/>
      <c r="G6" s="177"/>
      <c r="H6" s="177"/>
      <c r="I6" s="16"/>
      <c r="J6" s="59" t="s">
        <v>15</v>
      </c>
      <c r="K6" s="96"/>
      <c r="L6" s="59"/>
      <c r="M6" s="59"/>
      <c r="N6" s="59"/>
      <c r="O6" s="60"/>
    </row>
    <row r="7" spans="1:17" ht="12" customHeight="1" x14ac:dyDescent="0.2">
      <c r="A7" s="176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60"/>
    </row>
    <row r="8" spans="1:17" ht="14.1" customHeight="1" x14ac:dyDescent="0.2">
      <c r="A8" s="202" t="s">
        <v>22</v>
      </c>
      <c r="B8" s="203"/>
      <c r="C8" s="203"/>
      <c r="D8" s="203"/>
      <c r="E8" s="203"/>
      <c r="F8" s="203"/>
      <c r="G8" s="203"/>
      <c r="H8" s="203"/>
      <c r="I8" s="203"/>
      <c r="J8" s="203"/>
      <c r="K8" s="59"/>
      <c r="L8" s="59"/>
      <c r="M8" s="59"/>
      <c r="N8" s="59"/>
      <c r="O8" s="60"/>
    </row>
    <row r="9" spans="1:17" ht="14.1" customHeight="1" x14ac:dyDescent="0.2">
      <c r="A9" s="202"/>
      <c r="B9" s="203"/>
      <c r="C9" s="203"/>
      <c r="D9" s="203"/>
      <c r="E9" s="17"/>
      <c r="F9" s="15">
        <f>F4+I6</f>
        <v>0</v>
      </c>
      <c r="G9" s="204" t="s">
        <v>15</v>
      </c>
      <c r="H9" s="204"/>
      <c r="I9" s="205"/>
      <c r="J9" s="177"/>
      <c r="K9" s="177"/>
      <c r="L9" s="177"/>
      <c r="M9" s="177"/>
      <c r="N9" s="177"/>
      <c r="O9" s="101"/>
      <c r="P9" s="92"/>
      <c r="Q9" s="92"/>
    </row>
    <row r="10" spans="1:17" ht="12" customHeight="1" x14ac:dyDescent="0.2">
      <c r="A10" s="176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60"/>
    </row>
    <row r="11" spans="1:17" ht="12" customHeight="1" x14ac:dyDescent="0.2">
      <c r="A11" s="183" t="s">
        <v>23</v>
      </c>
      <c r="B11" s="184"/>
      <c r="C11" s="184"/>
      <c r="D11" s="4"/>
      <c r="E11" s="177" t="s">
        <v>109</v>
      </c>
      <c r="F11" s="177"/>
      <c r="G11" s="177"/>
      <c r="H11" s="177"/>
      <c r="I11" s="177"/>
      <c r="J11" s="177"/>
      <c r="K11" s="177"/>
      <c r="L11" s="177"/>
      <c r="M11" s="177"/>
      <c r="N11" s="177"/>
      <c r="O11" s="60"/>
    </row>
    <row r="12" spans="1:17" ht="12" customHeight="1" x14ac:dyDescent="0.2">
      <c r="A12" s="176" t="s">
        <v>24</v>
      </c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60"/>
    </row>
    <row r="13" spans="1:17" ht="12" customHeight="1" x14ac:dyDescent="0.2">
      <c r="A13" s="183" t="s">
        <v>25</v>
      </c>
      <c r="B13" s="184"/>
      <c r="C13" s="184"/>
      <c r="D13" s="19">
        <f>3.141592654*(D11/2)^2</f>
        <v>0</v>
      </c>
      <c r="E13" s="177" t="s">
        <v>26</v>
      </c>
      <c r="F13" s="177"/>
      <c r="G13" s="177"/>
      <c r="H13" s="177"/>
      <c r="I13" s="177"/>
      <c r="J13" s="177"/>
      <c r="K13" s="177"/>
      <c r="L13" s="177"/>
      <c r="M13" s="177"/>
      <c r="N13" s="177"/>
      <c r="O13" s="60"/>
    </row>
    <row r="14" spans="1:17" ht="12" customHeight="1" x14ac:dyDescent="0.2">
      <c r="A14" s="176"/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60"/>
    </row>
    <row r="15" spans="1:17" ht="12" customHeight="1" x14ac:dyDescent="0.2">
      <c r="A15" s="183" t="s">
        <v>27</v>
      </c>
      <c r="B15" s="184"/>
      <c r="C15" s="184"/>
      <c r="D15" s="20" t="e">
        <f>F9/D13</f>
        <v>#DIV/0!</v>
      </c>
      <c r="E15" s="177" t="s">
        <v>28</v>
      </c>
      <c r="F15" s="177"/>
      <c r="G15" s="177"/>
      <c r="H15" s="177"/>
      <c r="I15" s="177"/>
      <c r="J15" s="177"/>
      <c r="K15" s="177"/>
      <c r="L15" s="177"/>
      <c r="M15" s="177"/>
      <c r="N15" s="59"/>
      <c r="O15" s="60"/>
    </row>
    <row r="16" spans="1:17" ht="12" customHeight="1" x14ac:dyDescent="0.2">
      <c r="A16" s="176"/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60"/>
    </row>
    <row r="17" spans="1:17" ht="12" customHeight="1" x14ac:dyDescent="0.2">
      <c r="A17" s="190" t="s">
        <v>187</v>
      </c>
      <c r="B17" s="193"/>
      <c r="C17" s="193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60"/>
    </row>
    <row r="18" spans="1:17" ht="12" customHeight="1" x14ac:dyDescent="0.2">
      <c r="A18" s="183" t="s">
        <v>29</v>
      </c>
      <c r="B18" s="184"/>
      <c r="C18" s="184"/>
      <c r="D18" s="53"/>
      <c r="E18" s="177" t="s">
        <v>30</v>
      </c>
      <c r="F18" s="177"/>
      <c r="G18" s="177"/>
      <c r="H18" s="177"/>
      <c r="I18" s="177"/>
      <c r="J18" s="177"/>
      <c r="K18" s="177"/>
      <c r="L18" s="177"/>
      <c r="M18" s="177"/>
      <c r="N18" s="177"/>
      <c r="O18" s="60"/>
    </row>
    <row r="19" spans="1:17" ht="12" customHeight="1" x14ac:dyDescent="0.2">
      <c r="A19" s="206" t="s">
        <v>31</v>
      </c>
      <c r="B19" s="207"/>
      <c r="C19" s="20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60"/>
    </row>
    <row r="20" spans="1:17" ht="12" customHeight="1" x14ac:dyDescent="0.2">
      <c r="A20" s="176"/>
      <c r="B20" s="177"/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60"/>
    </row>
    <row r="21" spans="1:17" ht="12" customHeight="1" x14ac:dyDescent="0.2">
      <c r="A21" s="190" t="s">
        <v>188</v>
      </c>
      <c r="B21" s="193"/>
      <c r="C21" s="193"/>
      <c r="D21" s="193"/>
      <c r="E21" s="193"/>
      <c r="F21" s="177"/>
      <c r="G21" s="177"/>
      <c r="H21" s="177"/>
      <c r="I21" s="177"/>
      <c r="J21" s="177"/>
      <c r="K21" s="177"/>
      <c r="L21" s="177"/>
      <c r="M21" s="177"/>
      <c r="N21" s="177"/>
      <c r="O21" s="60"/>
    </row>
    <row r="22" spans="1:17" ht="12" customHeight="1" x14ac:dyDescent="0.2">
      <c r="A22" s="183" t="s">
        <v>29</v>
      </c>
      <c r="B22" s="184"/>
      <c r="C22" s="184"/>
      <c r="D22" s="19">
        <f>'Structure Sizing Data'!O36/12</f>
        <v>0</v>
      </c>
      <c r="E22" s="177" t="s">
        <v>30</v>
      </c>
      <c r="F22" s="177"/>
      <c r="G22" s="177"/>
      <c r="H22" s="177"/>
      <c r="I22" s="177"/>
      <c r="J22" s="177"/>
      <c r="K22" s="177"/>
      <c r="L22" s="177"/>
      <c r="M22" s="177"/>
      <c r="N22" s="177"/>
      <c r="O22" s="60"/>
    </row>
    <row r="23" spans="1:17" ht="12" customHeight="1" x14ac:dyDescent="0.2">
      <c r="A23" s="176"/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60"/>
    </row>
    <row r="24" spans="1:17" ht="12" customHeight="1" x14ac:dyDescent="0.2">
      <c r="A24" s="190" t="s">
        <v>189</v>
      </c>
      <c r="B24" s="193"/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60"/>
    </row>
    <row r="25" spans="1:17" ht="12" customHeight="1" x14ac:dyDescent="0.2">
      <c r="A25" s="176"/>
      <c r="B25" s="177"/>
      <c r="C25" s="62" t="s">
        <v>32</v>
      </c>
      <c r="D25" s="53"/>
      <c r="E25" s="59" t="s">
        <v>167</v>
      </c>
      <c r="F25" s="59"/>
      <c r="G25" s="59"/>
      <c r="H25" s="102"/>
      <c r="I25" s="59"/>
      <c r="J25" s="59"/>
      <c r="K25" s="59"/>
      <c r="L25" s="59"/>
      <c r="M25" s="59"/>
      <c r="N25" s="59"/>
      <c r="O25" s="60"/>
    </row>
    <row r="26" spans="1:17" ht="12" customHeight="1" x14ac:dyDescent="0.2">
      <c r="A26" s="176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60"/>
    </row>
    <row r="27" spans="1:17" ht="14.1" customHeight="1" x14ac:dyDescent="0.2">
      <c r="A27" s="183" t="s">
        <v>34</v>
      </c>
      <c r="B27" s="184"/>
      <c r="C27" s="184"/>
      <c r="D27" s="208" t="e">
        <f>D15+D18+D22+D25</f>
        <v>#DIV/0!</v>
      </c>
      <c r="E27" s="208"/>
      <c r="F27" s="207" t="s">
        <v>35</v>
      </c>
      <c r="G27" s="207"/>
      <c r="H27" s="207"/>
      <c r="I27" s="21">
        <f>D11</f>
        <v>0</v>
      </c>
      <c r="J27" s="59" t="s">
        <v>30</v>
      </c>
      <c r="K27" s="177"/>
      <c r="L27" s="177"/>
      <c r="M27" s="177"/>
      <c r="N27" s="177"/>
      <c r="O27" s="60"/>
    </row>
    <row r="28" spans="1:17" ht="12" customHeight="1" x14ac:dyDescent="0.2">
      <c r="A28" s="176"/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60"/>
    </row>
    <row r="29" spans="1:17" ht="15.95" customHeight="1" x14ac:dyDescent="0.25">
      <c r="A29" s="209" t="s">
        <v>36</v>
      </c>
      <c r="B29" s="210"/>
      <c r="C29" s="210"/>
      <c r="D29" s="210"/>
      <c r="E29" s="210"/>
      <c r="F29" s="170" t="e">
        <f>ROUNDUP(D27,1)</f>
        <v>#DIV/0!</v>
      </c>
      <c r="G29" s="211" t="s">
        <v>37</v>
      </c>
      <c r="H29" s="211"/>
      <c r="I29" s="22">
        <f>D11</f>
        <v>0</v>
      </c>
      <c r="J29" s="211" t="s">
        <v>38</v>
      </c>
      <c r="K29" s="211"/>
      <c r="L29" s="211"/>
      <c r="M29" s="211"/>
      <c r="N29" s="104"/>
      <c r="O29" s="105"/>
      <c r="P29" s="93"/>
      <c r="Q29" s="93"/>
    </row>
    <row r="30" spans="1:17" ht="12" customHeight="1" x14ac:dyDescent="0.2">
      <c r="A30" s="176"/>
      <c r="B30" s="177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60"/>
    </row>
    <row r="31" spans="1:17" ht="15.95" customHeight="1" x14ac:dyDescent="0.25">
      <c r="A31" s="212" t="s">
        <v>39</v>
      </c>
      <c r="B31" s="213"/>
      <c r="C31" s="213"/>
      <c r="D31" s="214">
        <f>F9</f>
        <v>0</v>
      </c>
      <c r="E31" s="215"/>
      <c r="F31" s="215"/>
      <c r="G31" s="211" t="s">
        <v>40</v>
      </c>
      <c r="H31" s="211"/>
      <c r="I31" s="22">
        <f>G2</f>
        <v>0</v>
      </c>
      <c r="J31" s="211" t="s">
        <v>41</v>
      </c>
      <c r="K31" s="211"/>
      <c r="L31" s="211"/>
      <c r="M31" s="211"/>
      <c r="N31" s="104"/>
      <c r="O31" s="105"/>
      <c r="P31" s="93"/>
      <c r="Q31" s="93"/>
    </row>
    <row r="32" spans="1:17" ht="12" customHeight="1" x14ac:dyDescent="0.25">
      <c r="A32" s="212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05"/>
      <c r="P32" s="93"/>
      <c r="Q32" s="93"/>
    </row>
    <row r="33" spans="1:15" ht="12" customHeight="1" x14ac:dyDescent="0.2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24" t="s">
        <v>24</v>
      </c>
      <c r="L33" s="59"/>
      <c r="M33" s="59"/>
      <c r="N33" s="59"/>
      <c r="O33" s="60"/>
    </row>
    <row r="34" spans="1:15" ht="12" customHeight="1" x14ac:dyDescent="0.2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96"/>
      <c r="L34" s="25">
        <f>D25</f>
        <v>0</v>
      </c>
      <c r="M34" s="59" t="s">
        <v>111</v>
      </c>
      <c r="N34" s="59"/>
      <c r="O34" s="60"/>
    </row>
    <row r="35" spans="1:15" ht="12" customHeight="1" x14ac:dyDescent="0.2">
      <c r="A35" s="58"/>
      <c r="B35" s="59"/>
      <c r="C35" s="59"/>
      <c r="D35" s="59"/>
      <c r="E35" s="59"/>
      <c r="F35" s="59"/>
      <c r="G35" s="59"/>
      <c r="H35" s="59"/>
      <c r="I35" s="59"/>
      <c r="J35" s="59"/>
      <c r="K35" s="24"/>
      <c r="L35" s="59"/>
      <c r="M35" s="59"/>
      <c r="N35" s="59"/>
      <c r="O35" s="60"/>
    </row>
    <row r="36" spans="1:15" ht="12" customHeight="1" x14ac:dyDescent="0.2">
      <c r="A36" s="58"/>
      <c r="B36" s="59"/>
      <c r="C36" s="59"/>
      <c r="D36" s="59"/>
      <c r="E36" s="59"/>
      <c r="F36" s="59"/>
      <c r="G36" s="59"/>
      <c r="H36" s="59"/>
      <c r="I36" s="59"/>
      <c r="J36" s="59"/>
      <c r="K36" s="26" t="s">
        <v>24</v>
      </c>
      <c r="L36" s="33">
        <f>D22</f>
        <v>0</v>
      </c>
      <c r="M36" s="59" t="s">
        <v>112</v>
      </c>
      <c r="N36" s="59"/>
      <c r="O36" s="60"/>
    </row>
    <row r="37" spans="1:15" ht="12" customHeight="1" x14ac:dyDescent="0.2">
      <c r="A37" s="34">
        <f>I29</f>
        <v>0</v>
      </c>
      <c r="B37" s="27" t="s">
        <v>110</v>
      </c>
      <c r="C37" s="59"/>
      <c r="D37" s="59"/>
      <c r="E37" s="59"/>
      <c r="F37" s="59"/>
      <c r="G37" s="59"/>
      <c r="H37" s="59"/>
      <c r="I37" s="28" t="s">
        <v>24</v>
      </c>
      <c r="J37" s="108"/>
      <c r="K37" s="59"/>
      <c r="L37" s="98"/>
      <c r="M37" s="59"/>
      <c r="N37" s="59"/>
      <c r="O37" s="60"/>
    </row>
    <row r="38" spans="1:15" ht="12" customHeight="1" x14ac:dyDescent="0.2">
      <c r="A38" s="58"/>
      <c r="B38" s="62"/>
      <c r="C38" s="59"/>
      <c r="D38" s="59"/>
      <c r="E38" s="59"/>
      <c r="F38" s="59"/>
      <c r="G38" s="59"/>
      <c r="H38" s="59"/>
      <c r="I38" s="59"/>
      <c r="J38" s="59"/>
      <c r="K38" s="59"/>
      <c r="L38" s="33">
        <f>D18</f>
        <v>0</v>
      </c>
      <c r="M38" s="59" t="s">
        <v>113</v>
      </c>
      <c r="N38" s="59"/>
      <c r="O38" s="60"/>
    </row>
    <row r="39" spans="1:15" ht="12" customHeight="1" x14ac:dyDescent="0.2">
      <c r="A39" s="58"/>
      <c r="B39" s="59"/>
      <c r="C39" s="59"/>
      <c r="D39" s="59"/>
      <c r="E39" s="59"/>
      <c r="F39" s="59"/>
      <c r="G39" s="59"/>
      <c r="H39" s="59"/>
      <c r="I39" s="59"/>
      <c r="J39" s="26" t="s">
        <v>24</v>
      </c>
      <c r="K39" s="109"/>
      <c r="L39" s="59"/>
      <c r="M39" s="109"/>
      <c r="N39" s="59"/>
      <c r="O39" s="60"/>
    </row>
    <row r="40" spans="1:15" ht="12" customHeight="1" x14ac:dyDescent="0.2">
      <c r="A40" s="58"/>
      <c r="B40" s="59"/>
      <c r="C40" s="59"/>
      <c r="D40" s="59"/>
      <c r="E40" s="59"/>
      <c r="F40" s="59"/>
      <c r="G40" s="59"/>
      <c r="H40" s="59"/>
      <c r="I40" s="59"/>
      <c r="J40" s="59"/>
      <c r="K40" s="109"/>
      <c r="L40" s="33" t="e">
        <f>D15</f>
        <v>#DIV/0!</v>
      </c>
      <c r="M40" s="59" t="s">
        <v>114</v>
      </c>
      <c r="N40" s="59"/>
      <c r="O40" s="60"/>
    </row>
    <row r="41" spans="1:15" ht="15" customHeight="1" x14ac:dyDescent="0.2">
      <c r="A41" s="58"/>
      <c r="B41" s="59"/>
      <c r="C41" s="59"/>
      <c r="D41" s="59"/>
      <c r="E41" s="59"/>
      <c r="F41" s="59"/>
      <c r="G41" s="59"/>
      <c r="H41" s="59"/>
      <c r="I41" s="59"/>
      <c r="J41" s="59"/>
      <c r="K41" s="109"/>
      <c r="L41" s="109"/>
      <c r="M41" s="109"/>
      <c r="N41" s="59"/>
      <c r="O41" s="60"/>
    </row>
    <row r="42" spans="1:15" ht="15.95" customHeight="1" x14ac:dyDescent="0.2">
      <c r="A42" s="58"/>
      <c r="C42" s="59"/>
      <c r="E42" s="59"/>
      <c r="F42" s="59"/>
      <c r="G42" s="59"/>
      <c r="I42" s="59"/>
      <c r="J42" s="107" t="s">
        <v>224</v>
      </c>
      <c r="K42" s="194" t="e">
        <f>(3.141592654*(I29/2)^2)*(L34+L36+L38+L40)</f>
        <v>#DIV/0!</v>
      </c>
      <c r="L42" s="194"/>
      <c r="M42" s="195" t="s">
        <v>15</v>
      </c>
      <c r="N42" s="196"/>
      <c r="O42" s="60"/>
    </row>
    <row r="43" spans="1:15" ht="12" customHeight="1" x14ac:dyDescent="0.2">
      <c r="A43" s="88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110"/>
    </row>
  </sheetData>
  <sheetProtection password="C8B3" sheet="1" objects="1" scenarios="1"/>
  <mergeCells count="62">
    <mergeCell ref="A29:E29"/>
    <mergeCell ref="G29:H29"/>
    <mergeCell ref="J29:M29"/>
    <mergeCell ref="A32:N32"/>
    <mergeCell ref="A30:N30"/>
    <mergeCell ref="A31:C31"/>
    <mergeCell ref="D31:F31"/>
    <mergeCell ref="G31:H31"/>
    <mergeCell ref="J31:M31"/>
    <mergeCell ref="A27:C27"/>
    <mergeCell ref="D27:E27"/>
    <mergeCell ref="F27:H27"/>
    <mergeCell ref="K27:N27"/>
    <mergeCell ref="A28:N28"/>
    <mergeCell ref="A23:N23"/>
    <mergeCell ref="A24:B24"/>
    <mergeCell ref="C24:N24"/>
    <mergeCell ref="A25:B25"/>
    <mergeCell ref="A26:N26"/>
    <mergeCell ref="A20:N20"/>
    <mergeCell ref="A21:F21"/>
    <mergeCell ref="G21:N21"/>
    <mergeCell ref="A22:C22"/>
    <mergeCell ref="E22:F22"/>
    <mergeCell ref="G22:N22"/>
    <mergeCell ref="A18:C18"/>
    <mergeCell ref="E18:F18"/>
    <mergeCell ref="G18:N18"/>
    <mergeCell ref="A19:C19"/>
    <mergeCell ref="D19:N19"/>
    <mergeCell ref="A15:C15"/>
    <mergeCell ref="E15:M15"/>
    <mergeCell ref="A16:N16"/>
    <mergeCell ref="A17:C17"/>
    <mergeCell ref="D17:N17"/>
    <mergeCell ref="A12:N12"/>
    <mergeCell ref="A13:C13"/>
    <mergeCell ref="E13:H13"/>
    <mergeCell ref="I13:N13"/>
    <mergeCell ref="A14:N14"/>
    <mergeCell ref="G9:H9"/>
    <mergeCell ref="I9:N9"/>
    <mergeCell ref="A10:N10"/>
    <mergeCell ref="A11:C11"/>
    <mergeCell ref="E11:F11"/>
    <mergeCell ref="G11:N11"/>
    <mergeCell ref="K42:L42"/>
    <mergeCell ref="M42:N42"/>
    <mergeCell ref="A1:N1"/>
    <mergeCell ref="A2:B2"/>
    <mergeCell ref="C2:D2"/>
    <mergeCell ref="G2:H2"/>
    <mergeCell ref="J2:N2"/>
    <mergeCell ref="A5:N5"/>
    <mergeCell ref="A6:H6"/>
    <mergeCell ref="A3:N3"/>
    <mergeCell ref="A4:D4"/>
    <mergeCell ref="G4:H4"/>
    <mergeCell ref="I4:N4"/>
    <mergeCell ref="A7:N7"/>
    <mergeCell ref="A8:J8"/>
    <mergeCell ref="A9:D9"/>
  </mergeCells>
  <phoneticPr fontId="6" type="noConversion"/>
  <pageMargins left="0.75" right="0.75" top="1" bottom="0.75" header="0.5" footer="0.5"/>
  <pageSetup scale="92" orientation="landscape" r:id="rId1"/>
  <headerFooter alignWithMargins="0">
    <oddFooter>&amp;LRevised 03-07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U59"/>
  <sheetViews>
    <sheetView showGridLines="0" showRowColHeaders="0" topLeftCell="A13" workbookViewId="0">
      <selection activeCell="I20" sqref="I20:J20"/>
    </sheetView>
  </sheetViews>
  <sheetFormatPr defaultRowHeight="12.75" x14ac:dyDescent="0.2"/>
  <cols>
    <col min="1" max="1" width="8.42578125" style="57" customWidth="1"/>
    <col min="2" max="2" width="13.85546875" style="57" customWidth="1"/>
    <col min="3" max="3" width="1.7109375" style="57" customWidth="1"/>
    <col min="4" max="4" width="13.42578125" style="57" customWidth="1"/>
    <col min="5" max="5" width="1.7109375" style="57" customWidth="1"/>
    <col min="6" max="6" width="9.140625" style="57"/>
    <col min="7" max="7" width="2.140625" style="57" customWidth="1"/>
    <col min="8" max="8" width="13.28515625" style="57" customWidth="1"/>
    <col min="9" max="9" width="9.140625" style="57"/>
    <col min="10" max="10" width="7" style="57" customWidth="1"/>
    <col min="11" max="12" width="9.140625" style="57"/>
    <col min="13" max="13" width="9.7109375" style="57" customWidth="1"/>
    <col min="14" max="14" width="15.5703125" style="57" customWidth="1"/>
    <col min="15" max="15" width="9.140625" style="57"/>
    <col min="16" max="16" width="7.28515625" style="57" customWidth="1"/>
    <col min="17" max="17" width="12.7109375" style="57" customWidth="1"/>
    <col min="18" max="18" width="10.7109375" style="57" customWidth="1"/>
    <col min="19" max="19" width="5.7109375" style="57" customWidth="1"/>
    <col min="20" max="16384" width="9.140625" style="57"/>
  </cols>
  <sheetData>
    <row r="1" spans="1:21" ht="18" x14ac:dyDescent="0.2">
      <c r="A1" s="173" t="s">
        <v>219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11"/>
      <c r="R1" s="111"/>
      <c r="S1" s="94"/>
    </row>
    <row r="2" spans="1:21" x14ac:dyDescent="0.2">
      <c r="A2" s="183" t="s">
        <v>0</v>
      </c>
      <c r="B2" s="184"/>
      <c r="C2" s="62"/>
      <c r="D2" s="197">
        <f>'Structure Sizing Data'!C3</f>
        <v>0</v>
      </c>
      <c r="E2" s="197"/>
      <c r="F2" s="197"/>
      <c r="G2" s="59"/>
      <c r="H2" s="59" t="s">
        <v>7</v>
      </c>
      <c r="I2" s="198">
        <f>'Structure Sizing Data'!J9</f>
        <v>0</v>
      </c>
      <c r="J2" s="198"/>
      <c r="K2" s="177" t="s">
        <v>8</v>
      </c>
      <c r="L2" s="177"/>
      <c r="M2" s="177"/>
      <c r="N2" s="177"/>
      <c r="O2" s="177"/>
      <c r="P2" s="177"/>
      <c r="Q2" s="59"/>
      <c r="R2" s="59"/>
      <c r="S2" s="60"/>
    </row>
    <row r="3" spans="1:21" x14ac:dyDescent="0.2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60"/>
    </row>
    <row r="4" spans="1:21" ht="15.75" x14ac:dyDescent="0.2">
      <c r="A4" s="95" t="s">
        <v>190</v>
      </c>
      <c r="B4" s="80"/>
      <c r="C4" s="80"/>
      <c r="D4" s="80"/>
      <c r="E4" s="80"/>
      <c r="F4" s="80"/>
      <c r="G4" s="218">
        <f>'Structure Sizing Data'!O62</f>
        <v>0</v>
      </c>
      <c r="H4" s="218"/>
      <c r="I4" s="201" t="s">
        <v>15</v>
      </c>
      <c r="J4" s="201"/>
      <c r="K4" s="177"/>
      <c r="L4" s="177"/>
      <c r="M4" s="177"/>
      <c r="N4" s="177"/>
      <c r="O4" s="177"/>
      <c r="P4" s="177"/>
      <c r="Q4" s="59"/>
      <c r="R4" s="59"/>
      <c r="S4" s="60"/>
    </row>
    <row r="5" spans="1:21" x14ac:dyDescent="0.2">
      <c r="A5" s="58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60"/>
    </row>
    <row r="6" spans="1:21" x14ac:dyDescent="0.2">
      <c r="A6" s="58" t="s">
        <v>115</v>
      </c>
      <c r="B6" s="59"/>
      <c r="C6" s="59"/>
      <c r="D6" s="59"/>
      <c r="E6" s="59"/>
      <c r="F6" s="59"/>
      <c r="G6" s="59"/>
      <c r="H6" s="59"/>
      <c r="I6" s="59"/>
      <c r="J6" s="59"/>
      <c r="K6" s="30"/>
      <c r="L6" s="59" t="s">
        <v>15</v>
      </c>
      <c r="M6" s="59"/>
      <c r="N6" s="96"/>
      <c r="O6" s="59"/>
      <c r="P6" s="59"/>
      <c r="Q6" s="59"/>
      <c r="R6" s="59"/>
      <c r="S6" s="60"/>
    </row>
    <row r="7" spans="1:21" x14ac:dyDescent="0.2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60"/>
    </row>
    <row r="8" spans="1:21" ht="15.75" x14ac:dyDescent="0.2">
      <c r="A8" s="97" t="s">
        <v>22</v>
      </c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177"/>
      <c r="O8" s="177"/>
      <c r="P8" s="177"/>
      <c r="Q8" s="59"/>
      <c r="R8" s="59"/>
      <c r="S8" s="60"/>
    </row>
    <row r="9" spans="1:21" ht="15.75" x14ac:dyDescent="0.2">
      <c r="A9" s="97"/>
      <c r="B9" s="98"/>
      <c r="C9" s="98"/>
      <c r="D9" s="98"/>
      <c r="E9" s="98"/>
      <c r="F9" s="98"/>
      <c r="G9" s="217">
        <f>G4+K6</f>
        <v>0</v>
      </c>
      <c r="H9" s="217"/>
      <c r="I9" s="204" t="s">
        <v>15</v>
      </c>
      <c r="J9" s="204"/>
      <c r="K9" s="205"/>
      <c r="L9" s="177"/>
      <c r="M9" s="177"/>
      <c r="N9" s="177"/>
      <c r="O9" s="177"/>
      <c r="P9" s="177"/>
      <c r="Q9" s="59"/>
      <c r="R9" s="59"/>
      <c r="S9" s="101"/>
      <c r="T9" s="92"/>
      <c r="U9" s="92"/>
    </row>
    <row r="10" spans="1:21" ht="15.75" x14ac:dyDescent="0.2">
      <c r="A10" s="97"/>
      <c r="B10" s="98"/>
      <c r="C10" s="98"/>
      <c r="D10" s="98"/>
      <c r="E10" s="98"/>
      <c r="F10" s="98"/>
      <c r="G10" s="112"/>
      <c r="H10" s="113"/>
      <c r="I10" s="99"/>
      <c r="J10" s="99"/>
      <c r="K10" s="100"/>
      <c r="L10" s="59"/>
      <c r="M10" s="59"/>
      <c r="N10" s="59"/>
      <c r="O10" s="59"/>
      <c r="P10" s="59"/>
      <c r="Q10" s="59"/>
      <c r="R10" s="59"/>
      <c r="S10" s="101"/>
      <c r="T10" s="92"/>
      <c r="U10" s="92"/>
    </row>
    <row r="11" spans="1:21" ht="15.75" x14ac:dyDescent="0.2">
      <c r="A11" s="114" t="s">
        <v>42</v>
      </c>
      <c r="B11" s="96"/>
      <c r="C11" s="96"/>
      <c r="D11" s="96"/>
      <c r="E11" s="96"/>
      <c r="F11" s="96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60"/>
    </row>
    <row r="12" spans="1:21" ht="14.25" x14ac:dyDescent="0.2">
      <c r="A12" s="219" t="s">
        <v>43</v>
      </c>
      <c r="B12" s="220"/>
      <c r="C12" s="220"/>
      <c r="D12" s="220"/>
      <c r="E12" s="56"/>
      <c r="F12" s="18"/>
      <c r="G12" s="47" t="s">
        <v>44</v>
      </c>
      <c r="H12" s="96"/>
      <c r="I12" s="116"/>
      <c r="J12" s="96"/>
      <c r="K12" s="96"/>
      <c r="L12" s="96"/>
      <c r="M12" s="96"/>
      <c r="N12" s="96"/>
      <c r="O12" s="96"/>
      <c r="P12" s="96"/>
      <c r="Q12" s="96"/>
      <c r="R12" s="96"/>
      <c r="S12" s="60"/>
    </row>
    <row r="13" spans="1:21" ht="14.25" x14ac:dyDescent="0.2">
      <c r="A13" s="55"/>
      <c r="B13" s="56"/>
      <c r="C13" s="56"/>
      <c r="D13" s="56"/>
      <c r="E13" s="56"/>
      <c r="F13" s="47"/>
      <c r="G13" s="47"/>
      <c r="H13" s="96"/>
      <c r="I13" s="117"/>
      <c r="J13" s="96"/>
      <c r="K13" s="96"/>
      <c r="L13" s="96"/>
      <c r="M13" s="96"/>
      <c r="N13" s="96"/>
      <c r="O13" s="96"/>
      <c r="P13" s="96"/>
      <c r="Q13" s="96"/>
      <c r="R13" s="96"/>
      <c r="S13" s="60"/>
    </row>
    <row r="14" spans="1:21" ht="14.25" x14ac:dyDescent="0.2">
      <c r="A14" s="118" t="s">
        <v>45</v>
      </c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96"/>
      <c r="O14" s="96"/>
      <c r="P14" s="96"/>
      <c r="Q14" s="96"/>
      <c r="R14" s="96"/>
      <c r="S14" s="60"/>
    </row>
    <row r="15" spans="1:21" x14ac:dyDescent="0.2">
      <c r="A15" s="58"/>
      <c r="B15" s="96"/>
      <c r="C15" s="96"/>
      <c r="D15" s="96"/>
      <c r="E15" s="96"/>
      <c r="F15" s="119"/>
      <c r="G15" s="96"/>
      <c r="H15" s="96"/>
      <c r="I15" s="177"/>
      <c r="J15" s="177"/>
      <c r="K15" s="177"/>
      <c r="L15" s="177"/>
      <c r="M15" s="177"/>
      <c r="N15" s="59"/>
      <c r="O15" s="59"/>
      <c r="P15" s="59"/>
      <c r="Q15" s="59"/>
      <c r="R15" s="59"/>
      <c r="S15" s="60"/>
    </row>
    <row r="16" spans="1:21" x14ac:dyDescent="0.2">
      <c r="A16" s="120" t="s">
        <v>46</v>
      </c>
      <c r="B16" s="121" t="s">
        <v>47</v>
      </c>
      <c r="C16" s="121"/>
      <c r="D16" s="121" t="s">
        <v>48</v>
      </c>
      <c r="E16" s="121"/>
      <c r="F16" s="122" t="s">
        <v>49</v>
      </c>
      <c r="G16" s="123" t="s">
        <v>50</v>
      </c>
      <c r="H16" s="124"/>
      <c r="I16" s="124"/>
      <c r="J16" s="124"/>
      <c r="K16" s="124"/>
      <c r="L16" s="124"/>
      <c r="M16" s="59"/>
      <c r="N16" s="59"/>
      <c r="O16" s="59"/>
      <c r="P16" s="59"/>
      <c r="Q16" s="59"/>
      <c r="R16" s="59"/>
      <c r="S16" s="60"/>
    </row>
    <row r="17" spans="1:20" ht="5.0999999999999996" customHeight="1" x14ac:dyDescent="0.2">
      <c r="A17" s="120"/>
      <c r="B17" s="121"/>
      <c r="C17" s="121"/>
      <c r="D17" s="121"/>
      <c r="E17" s="121"/>
      <c r="F17" s="122"/>
      <c r="G17" s="123"/>
      <c r="H17" s="124"/>
      <c r="I17" s="124"/>
      <c r="J17" s="124"/>
      <c r="K17" s="124"/>
      <c r="L17" s="124"/>
      <c r="M17" s="59"/>
      <c r="N17" s="59"/>
      <c r="O17" s="59"/>
      <c r="P17" s="59"/>
      <c r="Q17" s="59"/>
      <c r="R17" s="59"/>
      <c r="S17" s="60"/>
    </row>
    <row r="18" spans="1:20" x14ac:dyDescent="0.2">
      <c r="A18" s="69">
        <v>1</v>
      </c>
      <c r="B18" s="4"/>
      <c r="C18" s="70"/>
      <c r="D18" s="4"/>
      <c r="E18" s="70"/>
      <c r="F18" s="31"/>
      <c r="G18" s="125" t="s">
        <v>21</v>
      </c>
      <c r="H18" s="125"/>
      <c r="I18" s="221">
        <f>(B18*D18*F18)+((B18+D18)*F12*F18^2)+(1.333*F12^2*F18^3)</f>
        <v>0</v>
      </c>
      <c r="J18" s="221"/>
      <c r="K18" s="125"/>
      <c r="L18" s="125"/>
      <c r="M18" s="59" t="s">
        <v>51</v>
      </c>
      <c r="N18" s="126" t="str">
        <f>IF(I18&gt;O18,"greater than the","less than the")</f>
        <v>less than the</v>
      </c>
      <c r="O18" s="12">
        <f>G9</f>
        <v>0</v>
      </c>
      <c r="P18" s="177" t="s">
        <v>52</v>
      </c>
      <c r="Q18" s="177"/>
      <c r="R18" s="177"/>
      <c r="S18" s="178"/>
    </row>
    <row r="19" spans="1:20" ht="5.0999999999999996" customHeight="1" x14ac:dyDescent="0.2">
      <c r="A19" s="69"/>
      <c r="B19" s="70"/>
      <c r="C19" s="70"/>
      <c r="D19" s="70"/>
      <c r="E19" s="70"/>
      <c r="F19" s="127"/>
      <c r="G19" s="125"/>
      <c r="H19" s="125"/>
      <c r="I19" s="128"/>
      <c r="J19" s="128"/>
      <c r="K19" s="125"/>
      <c r="L19" s="125"/>
      <c r="M19" s="59"/>
      <c r="N19" s="126"/>
      <c r="O19" s="129"/>
      <c r="P19" s="59"/>
      <c r="Q19" s="59"/>
      <c r="R19" s="59"/>
      <c r="S19" s="60"/>
    </row>
    <row r="20" spans="1:20" x14ac:dyDescent="0.2">
      <c r="A20" s="69">
        <v>2</v>
      </c>
      <c r="B20" s="4"/>
      <c r="C20" s="70"/>
      <c r="D20" s="4"/>
      <c r="E20" s="70"/>
      <c r="F20" s="31"/>
      <c r="G20" s="125" t="s">
        <v>21</v>
      </c>
      <c r="H20" s="125"/>
      <c r="I20" s="221">
        <f>(B20*D20*F20)+((B20+D20)*F12*F20^2)+(1.333*F12^2*F20^3)</f>
        <v>0</v>
      </c>
      <c r="J20" s="221"/>
      <c r="K20" s="125"/>
      <c r="L20" s="125"/>
      <c r="M20" s="59" t="s">
        <v>51</v>
      </c>
      <c r="N20" s="126" t="str">
        <f>IF(I20&gt;O20,"greater than the","less than the")</f>
        <v>less than the</v>
      </c>
      <c r="O20" s="12">
        <f>G9</f>
        <v>0</v>
      </c>
      <c r="P20" s="177" t="s">
        <v>52</v>
      </c>
      <c r="Q20" s="177"/>
      <c r="R20" s="177"/>
      <c r="S20" s="178"/>
    </row>
    <row r="21" spans="1:20" ht="5.0999999999999996" customHeight="1" x14ac:dyDescent="0.2">
      <c r="A21" s="69"/>
      <c r="B21" s="70"/>
      <c r="C21" s="70"/>
      <c r="D21" s="70"/>
      <c r="E21" s="70"/>
      <c r="F21" s="130"/>
      <c r="G21" s="125"/>
      <c r="H21" s="125"/>
      <c r="I21" s="128"/>
      <c r="J21" s="128"/>
      <c r="K21" s="125"/>
      <c r="L21" s="125"/>
      <c r="M21" s="59"/>
      <c r="N21" s="126"/>
      <c r="O21" s="129"/>
      <c r="P21" s="59"/>
      <c r="Q21" s="59"/>
      <c r="R21" s="59"/>
      <c r="S21" s="60"/>
    </row>
    <row r="22" spans="1:20" x14ac:dyDescent="0.2">
      <c r="A22" s="69">
        <v>3</v>
      </c>
      <c r="B22" s="4"/>
      <c r="C22" s="70"/>
      <c r="D22" s="4"/>
      <c r="E22" s="70"/>
      <c r="F22" s="31"/>
      <c r="G22" s="125" t="s">
        <v>21</v>
      </c>
      <c r="H22" s="125"/>
      <c r="I22" s="221">
        <f>(B22*D22*F22)+((B22+D22)*F12*F22^2)+(1.333*F12^2*F22^3)</f>
        <v>0</v>
      </c>
      <c r="J22" s="221"/>
      <c r="K22" s="125"/>
      <c r="L22" s="125"/>
      <c r="M22" s="59" t="s">
        <v>51</v>
      </c>
      <c r="N22" s="126" t="str">
        <f>IF(I22&gt;O22,"greater than the","less than the")</f>
        <v>less than the</v>
      </c>
      <c r="O22" s="12">
        <f>G9</f>
        <v>0</v>
      </c>
      <c r="P22" s="177" t="s">
        <v>52</v>
      </c>
      <c r="Q22" s="177"/>
      <c r="R22" s="177"/>
      <c r="S22" s="178"/>
    </row>
    <row r="23" spans="1:20" ht="5.0999999999999996" customHeight="1" x14ac:dyDescent="0.2">
      <c r="A23" s="69"/>
      <c r="B23" s="70"/>
      <c r="C23" s="70"/>
      <c r="D23" s="70"/>
      <c r="E23" s="70"/>
      <c r="F23" s="130"/>
      <c r="G23" s="125"/>
      <c r="H23" s="125"/>
      <c r="I23" s="128"/>
      <c r="J23" s="128"/>
      <c r="K23" s="125"/>
      <c r="L23" s="125"/>
      <c r="M23" s="59"/>
      <c r="N23" s="126"/>
      <c r="O23" s="129"/>
      <c r="P23" s="59"/>
      <c r="Q23" s="59"/>
      <c r="R23" s="59"/>
      <c r="S23" s="60"/>
    </row>
    <row r="24" spans="1:20" x14ac:dyDescent="0.2">
      <c r="A24" s="69">
        <v>4</v>
      </c>
      <c r="B24" s="4"/>
      <c r="C24" s="70"/>
      <c r="D24" s="4"/>
      <c r="E24" s="70"/>
      <c r="F24" s="31"/>
      <c r="G24" s="125" t="s">
        <v>21</v>
      </c>
      <c r="H24" s="125"/>
      <c r="I24" s="221">
        <f>(B24*D24*F24)+((B24+D24)*F12*F24^2)+(1.333*F12^2*F24^3)</f>
        <v>0</v>
      </c>
      <c r="J24" s="221"/>
      <c r="K24" s="125"/>
      <c r="L24" s="125"/>
      <c r="M24" s="59" t="s">
        <v>51</v>
      </c>
      <c r="N24" s="126" t="str">
        <f>IF(I24&gt;O24,"greater than the","less than the")</f>
        <v>less than the</v>
      </c>
      <c r="O24" s="12">
        <f>G9</f>
        <v>0</v>
      </c>
      <c r="P24" s="177" t="s">
        <v>52</v>
      </c>
      <c r="Q24" s="177"/>
      <c r="R24" s="177"/>
      <c r="S24" s="178"/>
    </row>
    <row r="25" spans="1:20" ht="5.0999999999999996" customHeight="1" x14ac:dyDescent="0.2">
      <c r="A25" s="69"/>
      <c r="B25" s="87"/>
      <c r="C25" s="70"/>
      <c r="D25" s="87"/>
      <c r="E25" s="70"/>
      <c r="F25" s="131"/>
      <c r="G25" s="125"/>
      <c r="H25" s="125"/>
      <c r="I25" s="132"/>
      <c r="J25" s="132"/>
      <c r="K25" s="125"/>
      <c r="L25" s="125"/>
      <c r="M25" s="59"/>
      <c r="N25" s="133"/>
      <c r="O25" s="129"/>
      <c r="P25" s="59"/>
      <c r="Q25" s="59"/>
      <c r="R25" s="59"/>
      <c r="S25" s="60"/>
    </row>
    <row r="26" spans="1:20" x14ac:dyDescent="0.2">
      <c r="A26" s="134" t="s">
        <v>116</v>
      </c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8"/>
      <c r="P26" s="98"/>
      <c r="Q26" s="98"/>
      <c r="R26" s="98"/>
      <c r="S26" s="135"/>
      <c r="T26" s="57" t="s">
        <v>24</v>
      </c>
    </row>
    <row r="27" spans="1:20" ht="13.5" thickBot="1" x14ac:dyDescent="0.25">
      <c r="A27" s="134"/>
      <c r="B27" s="96"/>
      <c r="C27" s="96"/>
      <c r="D27" s="96"/>
      <c r="E27" s="96"/>
      <c r="F27" s="96"/>
      <c r="G27" s="96"/>
      <c r="H27" s="96"/>
      <c r="I27" s="96"/>
      <c r="J27" s="96"/>
      <c r="K27" s="98"/>
      <c r="L27" s="98"/>
      <c r="M27" s="98"/>
      <c r="N27" s="98"/>
      <c r="O27" s="98"/>
      <c r="P27" s="98"/>
      <c r="Q27" s="98"/>
      <c r="R27" s="98"/>
      <c r="S27" s="135"/>
    </row>
    <row r="28" spans="1:20" ht="13.5" thickTop="1" x14ac:dyDescent="0.2">
      <c r="A28" s="77" t="s">
        <v>187</v>
      </c>
      <c r="B28" s="82"/>
      <c r="C28" s="82"/>
      <c r="D28" s="82"/>
      <c r="E28" s="82"/>
      <c r="F28" s="59"/>
      <c r="G28" s="59"/>
      <c r="H28" s="59"/>
      <c r="I28" s="136"/>
      <c r="J28" s="137"/>
      <c r="K28" s="137"/>
      <c r="L28" s="137"/>
      <c r="M28" s="137"/>
      <c r="N28" s="137"/>
      <c r="O28" s="138"/>
      <c r="P28" s="59"/>
      <c r="Q28" s="59"/>
      <c r="R28" s="59"/>
      <c r="S28" s="60"/>
    </row>
    <row r="29" spans="1:20" x14ac:dyDescent="0.2">
      <c r="A29" s="183" t="s">
        <v>29</v>
      </c>
      <c r="B29" s="184"/>
      <c r="C29" s="184"/>
      <c r="D29" s="184"/>
      <c r="E29" s="62"/>
      <c r="F29" s="31"/>
      <c r="G29" s="177" t="s">
        <v>30</v>
      </c>
      <c r="H29" s="177"/>
      <c r="I29" s="139"/>
      <c r="J29" s="98"/>
      <c r="K29" s="66"/>
      <c r="L29" s="59"/>
      <c r="M29" s="140" t="s">
        <v>123</v>
      </c>
      <c r="N29" s="32"/>
      <c r="O29" s="141"/>
      <c r="P29" s="59"/>
      <c r="Q29" s="59"/>
      <c r="R29" s="59"/>
      <c r="S29" s="60"/>
    </row>
    <row r="30" spans="1:20" ht="13.5" thickBot="1" x14ac:dyDescent="0.25">
      <c r="A30" s="206" t="s">
        <v>213</v>
      </c>
      <c r="B30" s="207"/>
      <c r="C30" s="207"/>
      <c r="D30" s="207"/>
      <c r="E30" s="70"/>
      <c r="F30" s="59"/>
      <c r="G30" s="59"/>
      <c r="H30" s="59"/>
      <c r="I30" s="142"/>
      <c r="J30" s="143"/>
      <c r="K30" s="143"/>
      <c r="L30" s="143"/>
      <c r="M30" s="143"/>
      <c r="N30" s="143"/>
      <c r="O30" s="144"/>
      <c r="P30" s="59"/>
      <c r="Q30" s="59"/>
      <c r="R30" s="59"/>
      <c r="S30" s="60"/>
    </row>
    <row r="31" spans="1:20" ht="13.5" thickTop="1" x14ac:dyDescent="0.2">
      <c r="A31" s="58"/>
      <c r="B31" s="59"/>
      <c r="C31" s="59"/>
      <c r="D31" s="59"/>
      <c r="E31" s="59"/>
      <c r="F31" s="59"/>
      <c r="G31" s="59"/>
      <c r="H31" s="35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60"/>
    </row>
    <row r="32" spans="1:20" x14ac:dyDescent="0.2">
      <c r="A32" s="77" t="s">
        <v>188</v>
      </c>
      <c r="B32" s="82"/>
      <c r="C32" s="82"/>
      <c r="D32" s="82"/>
      <c r="E32" s="82"/>
      <c r="F32" s="82"/>
      <c r="G32" s="82"/>
      <c r="H32" s="59"/>
      <c r="I32" s="177"/>
      <c r="J32" s="177"/>
      <c r="K32" s="177"/>
      <c r="L32" s="177"/>
      <c r="M32" s="177"/>
      <c r="N32" s="177"/>
      <c r="O32" s="177"/>
      <c r="P32" s="177"/>
      <c r="Q32" s="59"/>
      <c r="R32" s="59"/>
      <c r="S32" s="60"/>
    </row>
    <row r="33" spans="1:21" x14ac:dyDescent="0.2">
      <c r="A33" s="183" t="s">
        <v>29</v>
      </c>
      <c r="B33" s="184"/>
      <c r="C33" s="184"/>
      <c r="D33" s="184"/>
      <c r="E33" s="62"/>
      <c r="F33" s="36">
        <f>'Structure Sizing Data'!O36/12</f>
        <v>0</v>
      </c>
      <c r="G33" s="177" t="s">
        <v>30</v>
      </c>
      <c r="H33" s="177"/>
      <c r="I33" s="177"/>
      <c r="J33" s="177"/>
      <c r="K33" s="177"/>
      <c r="L33" s="177"/>
      <c r="M33" s="177"/>
      <c r="N33" s="177"/>
      <c r="O33" s="177"/>
      <c r="P33" s="177"/>
      <c r="Q33" s="59"/>
      <c r="R33" s="59"/>
      <c r="S33" s="60"/>
    </row>
    <row r="34" spans="1:21" x14ac:dyDescent="0.2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60"/>
    </row>
    <row r="35" spans="1:21" x14ac:dyDescent="0.2">
      <c r="A35" s="190" t="s">
        <v>189</v>
      </c>
      <c r="B35" s="193"/>
      <c r="C35" s="82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60"/>
    </row>
    <row r="36" spans="1:21" x14ac:dyDescent="0.2">
      <c r="A36" s="176"/>
      <c r="B36" s="177"/>
      <c r="C36" s="59"/>
      <c r="D36" s="62" t="s">
        <v>32</v>
      </c>
      <c r="E36" s="62"/>
      <c r="F36" s="31"/>
      <c r="G36" s="177" t="s">
        <v>33</v>
      </c>
      <c r="H36" s="177"/>
      <c r="I36" s="177"/>
      <c r="J36" s="177"/>
      <c r="K36" s="177"/>
      <c r="L36" s="177"/>
      <c r="M36" s="177"/>
      <c r="N36" s="177"/>
      <c r="O36" s="177"/>
      <c r="P36" s="177"/>
      <c r="Q36" s="59"/>
      <c r="R36" s="59"/>
      <c r="S36" s="60"/>
    </row>
    <row r="37" spans="1:21" x14ac:dyDescent="0.2">
      <c r="A37" s="58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60"/>
    </row>
    <row r="38" spans="1:21" x14ac:dyDescent="0.2">
      <c r="A38" s="183" t="s">
        <v>117</v>
      </c>
      <c r="B38" s="184"/>
      <c r="C38" s="184"/>
      <c r="D38" s="184"/>
      <c r="E38" s="62"/>
      <c r="F38" s="223" t="b">
        <f>IF(N29=1,F18+F29+F33+F36,IF(N29=2,F20+F29+F33+F36,IF(N29=3,F22+F29+F33+F36,IF(N29=4,F24+F29+F33+F36))))</f>
        <v>0</v>
      </c>
      <c r="G38" s="223"/>
      <c r="H38" s="98" t="s">
        <v>53</v>
      </c>
      <c r="I38" s="70"/>
      <c r="J38" s="70"/>
      <c r="K38" s="96"/>
      <c r="L38" s="38" t="b">
        <f>IF(N29=1,B18,IF(N29=2,B20,IF(N29=3,B22,IF(N29=4,B24))))</f>
        <v>0</v>
      </c>
      <c r="M38" s="145" t="s">
        <v>130</v>
      </c>
      <c r="N38" s="39" t="b">
        <f>IF(N29=1,D18,IF(N29=2,D20,IF(N29=3,D22,IF(N29=4,D24))))</f>
        <v>0</v>
      </c>
      <c r="O38" s="59" t="s">
        <v>54</v>
      </c>
      <c r="P38" s="96"/>
      <c r="Q38" s="96"/>
      <c r="R38" s="96"/>
      <c r="S38" s="60"/>
    </row>
    <row r="39" spans="1:21" x14ac:dyDescent="0.2">
      <c r="A39" s="58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60"/>
    </row>
    <row r="40" spans="1:21" ht="18" x14ac:dyDescent="0.25">
      <c r="A40" s="103" t="s">
        <v>36</v>
      </c>
      <c r="B40" s="96"/>
      <c r="C40" s="96"/>
      <c r="D40" s="96"/>
      <c r="E40" s="96"/>
      <c r="F40" s="96"/>
      <c r="I40" s="146" t="s">
        <v>118</v>
      </c>
      <c r="J40" s="37">
        <f>ROUNDUP(F38,1)</f>
        <v>0</v>
      </c>
      <c r="K40" s="147"/>
      <c r="L40" s="148"/>
      <c r="M40" s="107" t="s">
        <v>119</v>
      </c>
      <c r="N40" s="37">
        <f>N42+2*F12*J40</f>
        <v>0</v>
      </c>
      <c r="O40" s="149"/>
      <c r="P40" s="104"/>
      <c r="Q40" s="107" t="s">
        <v>121</v>
      </c>
      <c r="R40" s="37">
        <f>R42+2*F12*J40</f>
        <v>0</v>
      </c>
      <c r="S40" s="60"/>
      <c r="T40" s="93"/>
      <c r="U40" s="93"/>
    </row>
    <row r="41" spans="1:21" ht="5.0999999999999996" customHeight="1" x14ac:dyDescent="0.25">
      <c r="A41" s="103"/>
      <c r="B41" s="96"/>
      <c r="C41" s="96"/>
      <c r="D41" s="96"/>
      <c r="E41" s="96"/>
      <c r="F41" s="96"/>
      <c r="G41" s="96"/>
      <c r="H41" s="150"/>
      <c r="I41" s="104"/>
      <c r="J41" s="104"/>
      <c r="K41" s="151"/>
      <c r="L41" s="151"/>
      <c r="M41" s="104"/>
      <c r="N41" s="104"/>
      <c r="O41" s="152"/>
      <c r="P41" s="104"/>
      <c r="Q41" s="104"/>
      <c r="R41" s="104"/>
      <c r="S41" s="60"/>
      <c r="T41" s="93"/>
      <c r="U41" s="93"/>
    </row>
    <row r="42" spans="1:21" ht="18" x14ac:dyDescent="0.25">
      <c r="A42" s="103"/>
      <c r="B42" s="104"/>
      <c r="C42" s="104"/>
      <c r="D42" s="104"/>
      <c r="E42" s="104"/>
      <c r="F42" s="104"/>
      <c r="G42" s="104"/>
      <c r="H42" s="153"/>
      <c r="I42" s="96"/>
      <c r="J42" s="96"/>
      <c r="K42" s="154"/>
      <c r="L42" s="148"/>
      <c r="M42" s="107" t="s">
        <v>120</v>
      </c>
      <c r="N42" s="37" t="b">
        <f>N38</f>
        <v>0</v>
      </c>
      <c r="O42" s="149"/>
      <c r="P42" s="96"/>
      <c r="Q42" s="146" t="s">
        <v>122</v>
      </c>
      <c r="R42" s="42" t="b">
        <f>L38</f>
        <v>0</v>
      </c>
      <c r="S42" s="60"/>
      <c r="T42" s="93"/>
      <c r="U42" s="93"/>
    </row>
    <row r="43" spans="1:21" ht="18" x14ac:dyDescent="0.25">
      <c r="A43" s="103"/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60"/>
      <c r="T43" s="93"/>
      <c r="U43" s="93"/>
    </row>
    <row r="44" spans="1:21" ht="18" x14ac:dyDescent="0.25">
      <c r="A44" s="155" t="s">
        <v>39</v>
      </c>
      <c r="B44" s="107"/>
      <c r="C44" s="107"/>
      <c r="D44" s="23">
        <f>G9</f>
        <v>0</v>
      </c>
      <c r="F44" s="104" t="s">
        <v>124</v>
      </c>
      <c r="J44" s="22">
        <f>I2</f>
        <v>0</v>
      </c>
      <c r="K44" s="156" t="s">
        <v>125</v>
      </c>
      <c r="M44" s="104"/>
      <c r="N44" s="104"/>
      <c r="O44" s="104"/>
      <c r="P44" s="104"/>
      <c r="Q44" s="104"/>
      <c r="R44" s="104"/>
      <c r="S44" s="105"/>
      <c r="T44" s="93"/>
      <c r="U44" s="93"/>
    </row>
    <row r="45" spans="1:21" ht="15" customHeight="1" x14ac:dyDescent="0.25">
      <c r="A45" s="106"/>
      <c r="B45" s="157" t="s">
        <v>24</v>
      </c>
      <c r="C45" s="157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105"/>
      <c r="T45" s="93"/>
      <c r="U45" s="93"/>
    </row>
    <row r="46" spans="1:21" ht="15" customHeight="1" x14ac:dyDescent="0.25">
      <c r="A46" s="106"/>
      <c r="C46" s="158" t="s">
        <v>127</v>
      </c>
      <c r="D46" s="40">
        <f>R40</f>
        <v>0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105"/>
      <c r="T46" s="93"/>
      <c r="U46" s="93"/>
    </row>
    <row r="47" spans="1:21" ht="5.0999999999999996" customHeight="1" x14ac:dyDescent="0.25">
      <c r="A47" s="106"/>
      <c r="C47" s="158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105"/>
      <c r="T47" s="93"/>
      <c r="U47" s="93"/>
    </row>
    <row r="48" spans="1:21" ht="15" customHeight="1" x14ac:dyDescent="0.2">
      <c r="A48" s="58"/>
      <c r="C48" s="62" t="s">
        <v>126</v>
      </c>
      <c r="D48" s="40" t="b">
        <f>R42</f>
        <v>0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60"/>
    </row>
    <row r="49" spans="1:19" ht="15" customHeight="1" x14ac:dyDescent="0.2">
      <c r="A49" s="58"/>
      <c r="B49" s="59"/>
      <c r="C49" s="59"/>
      <c r="D49" s="59"/>
      <c r="E49" s="59"/>
      <c r="F49" s="59"/>
      <c r="G49" s="59"/>
      <c r="H49" s="159" t="s">
        <v>24</v>
      </c>
      <c r="I49" s="59"/>
      <c r="J49" s="59"/>
      <c r="K49" s="59"/>
      <c r="L49" s="59"/>
      <c r="M49" s="96"/>
      <c r="N49" s="96"/>
      <c r="O49" s="20">
        <f>F36</f>
        <v>0</v>
      </c>
      <c r="P49" s="59" t="s">
        <v>111</v>
      </c>
      <c r="Q49" s="59"/>
      <c r="R49" s="59"/>
      <c r="S49" s="60"/>
    </row>
    <row r="50" spans="1:19" ht="15" customHeight="1" x14ac:dyDescent="0.2">
      <c r="A50" s="69" t="s">
        <v>21</v>
      </c>
      <c r="B50" s="59"/>
      <c r="C50" s="59"/>
      <c r="D50" s="59"/>
      <c r="E50" s="59"/>
      <c r="F50" s="59"/>
      <c r="H50" s="62"/>
      <c r="I50" s="59"/>
      <c r="J50" s="59"/>
      <c r="K50" s="59"/>
      <c r="L50" s="59"/>
      <c r="M50" s="160" t="s">
        <v>24</v>
      </c>
      <c r="N50" s="59"/>
      <c r="O50" s="59"/>
      <c r="P50" s="59"/>
      <c r="Q50" s="59"/>
      <c r="R50" s="59"/>
      <c r="S50" s="60"/>
    </row>
    <row r="51" spans="1:19" ht="15" customHeight="1" x14ac:dyDescent="0.2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96"/>
      <c r="N51" s="96"/>
      <c r="O51" s="20">
        <f>F33</f>
        <v>0</v>
      </c>
      <c r="P51" s="59" t="s">
        <v>112</v>
      </c>
      <c r="Q51" s="59"/>
      <c r="R51" s="59"/>
      <c r="S51" s="60"/>
    </row>
    <row r="52" spans="1:19" ht="15" customHeight="1" x14ac:dyDescent="0.2">
      <c r="A52" s="58"/>
      <c r="B52" s="62"/>
      <c r="C52" s="62"/>
      <c r="D52" s="59"/>
      <c r="E52" s="59"/>
      <c r="F52" s="59"/>
      <c r="H52" s="62" t="s">
        <v>128</v>
      </c>
      <c r="I52" s="40">
        <f>N40</f>
        <v>0</v>
      </c>
      <c r="J52" s="59"/>
      <c r="K52" s="161"/>
      <c r="L52" s="70"/>
      <c r="M52" s="162"/>
      <c r="N52" s="222"/>
      <c r="O52" s="210"/>
      <c r="P52" s="59"/>
      <c r="Q52" s="59"/>
      <c r="R52" s="59"/>
      <c r="S52" s="60"/>
    </row>
    <row r="53" spans="1:19" ht="5.0999999999999996" customHeight="1" x14ac:dyDescent="0.2">
      <c r="A53" s="58"/>
      <c r="B53" s="62"/>
      <c r="C53" s="62"/>
      <c r="D53" s="59"/>
      <c r="E53" s="59"/>
      <c r="F53" s="59"/>
      <c r="H53" s="62"/>
      <c r="I53" s="59"/>
      <c r="J53" s="59"/>
      <c r="K53" s="161"/>
      <c r="L53" s="70"/>
      <c r="M53" s="162"/>
      <c r="N53" s="81"/>
      <c r="O53" s="96"/>
      <c r="P53" s="59"/>
      <c r="Q53" s="59"/>
      <c r="R53" s="59"/>
      <c r="S53" s="60"/>
    </row>
    <row r="54" spans="1:19" ht="15" customHeight="1" x14ac:dyDescent="0.2">
      <c r="A54" s="58"/>
      <c r="B54" s="62"/>
      <c r="C54" s="62"/>
      <c r="D54" s="59"/>
      <c r="E54" s="59"/>
      <c r="F54" s="59"/>
      <c r="G54" s="59"/>
      <c r="H54" s="62" t="s">
        <v>129</v>
      </c>
      <c r="I54" s="41" t="b">
        <f>N42</f>
        <v>0</v>
      </c>
      <c r="J54" s="59"/>
      <c r="K54" s="59"/>
      <c r="L54" s="59"/>
      <c r="M54" s="96"/>
      <c r="N54" s="96"/>
      <c r="O54" s="20">
        <f>F29</f>
        <v>0</v>
      </c>
      <c r="P54" s="59" t="s">
        <v>113</v>
      </c>
      <c r="Q54" s="59"/>
      <c r="R54" s="59"/>
      <c r="S54" s="163"/>
    </row>
    <row r="55" spans="1:19" ht="15" customHeight="1" x14ac:dyDescent="0.2">
      <c r="A55" s="58"/>
      <c r="B55" s="59"/>
      <c r="C55" s="59"/>
      <c r="D55" s="59"/>
      <c r="E55" s="59"/>
      <c r="F55" s="59"/>
      <c r="I55" s="62"/>
      <c r="J55" s="59"/>
      <c r="K55" s="59"/>
      <c r="L55" s="59"/>
      <c r="M55" s="127"/>
      <c r="N55" s="164"/>
      <c r="O55" s="164"/>
      <c r="P55" s="59"/>
      <c r="Q55" s="59"/>
      <c r="R55" s="59"/>
      <c r="S55" s="163"/>
    </row>
    <row r="56" spans="1:19" ht="15" customHeight="1" x14ac:dyDescent="0.2">
      <c r="A56" s="58"/>
      <c r="B56" s="59" t="s">
        <v>21</v>
      </c>
      <c r="C56" s="59"/>
      <c r="D56" s="165"/>
      <c r="E56" s="165"/>
      <c r="F56" s="59"/>
      <c r="G56" s="59"/>
      <c r="H56" s="59"/>
      <c r="I56" s="59"/>
      <c r="J56" s="59"/>
      <c r="K56" s="59"/>
      <c r="L56" s="59"/>
      <c r="M56" s="127"/>
      <c r="N56" s="166"/>
      <c r="O56" s="33" t="b">
        <f>IF(N29=1,F18,IF(N29=2,F20,IF(N29=3,F22,IF(N29=4,F24))))</f>
        <v>0</v>
      </c>
      <c r="P56" s="98" t="s">
        <v>114</v>
      </c>
      <c r="Q56" s="98"/>
      <c r="R56" s="98"/>
      <c r="S56" s="163"/>
    </row>
    <row r="57" spans="1:19" ht="15" customHeight="1" x14ac:dyDescent="0.2">
      <c r="A57" s="58"/>
      <c r="B57" s="59"/>
      <c r="C57" s="59"/>
      <c r="D57" s="59"/>
      <c r="E57" s="59"/>
      <c r="F57" s="59"/>
      <c r="H57" s="62"/>
      <c r="I57" s="59"/>
      <c r="J57" s="59"/>
      <c r="K57" s="59"/>
      <c r="L57" s="59"/>
      <c r="M57" s="59"/>
      <c r="N57" s="98"/>
      <c r="O57" s="98"/>
      <c r="P57" s="59"/>
      <c r="Q57" s="59"/>
      <c r="R57" s="59"/>
      <c r="S57" s="163"/>
    </row>
    <row r="58" spans="1:19" ht="15" customHeight="1" x14ac:dyDescent="0.2">
      <c r="A58" s="58"/>
      <c r="B58" s="59"/>
      <c r="C58" s="59"/>
      <c r="D58" s="59"/>
      <c r="E58" s="59"/>
      <c r="F58" s="59"/>
      <c r="G58" s="59"/>
      <c r="H58" s="59"/>
      <c r="I58" s="59"/>
      <c r="K58" s="168" t="s">
        <v>224</v>
      </c>
      <c r="L58" s="216">
        <f>(I54*D48*J40)+((I54+D48)*F12*J40^2)+(1.333*F12^2*J40^3)</f>
        <v>0</v>
      </c>
      <c r="M58" s="216"/>
      <c r="N58" s="169" t="s">
        <v>15</v>
      </c>
      <c r="O58" s="59"/>
      <c r="P58" s="59"/>
      <c r="Q58" s="59"/>
      <c r="R58" s="59"/>
      <c r="S58" s="60"/>
    </row>
    <row r="59" spans="1:19" ht="15" customHeight="1" x14ac:dyDescent="0.2">
      <c r="A59" s="88"/>
      <c r="B59" s="89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110"/>
    </row>
  </sheetData>
  <sheetProtection password="C8B3" sheet="1" objects="1" scenarios="1"/>
  <mergeCells count="38">
    <mergeCell ref="I24:J24"/>
    <mergeCell ref="A29:D29"/>
    <mergeCell ref="G29:H29"/>
    <mergeCell ref="N52:O52"/>
    <mergeCell ref="A38:D38"/>
    <mergeCell ref="F38:G38"/>
    <mergeCell ref="A35:B35"/>
    <mergeCell ref="A36:B36"/>
    <mergeCell ref="G36:H36"/>
    <mergeCell ref="I36:P36"/>
    <mergeCell ref="A33:D33"/>
    <mergeCell ref="G33:H33"/>
    <mergeCell ref="I33:P33"/>
    <mergeCell ref="A30:D30"/>
    <mergeCell ref="I32:P32"/>
    <mergeCell ref="I15:M15"/>
    <mergeCell ref="P18:S18"/>
    <mergeCell ref="P20:S20"/>
    <mergeCell ref="P22:S22"/>
    <mergeCell ref="I18:J18"/>
    <mergeCell ref="I20:J20"/>
    <mergeCell ref="I22:J22"/>
    <mergeCell ref="L58:M58"/>
    <mergeCell ref="A1:P1"/>
    <mergeCell ref="A2:B2"/>
    <mergeCell ref="D2:F2"/>
    <mergeCell ref="I2:J2"/>
    <mergeCell ref="K2:L2"/>
    <mergeCell ref="M2:P2"/>
    <mergeCell ref="K4:P4"/>
    <mergeCell ref="G9:H9"/>
    <mergeCell ref="I9:J9"/>
    <mergeCell ref="K9:P9"/>
    <mergeCell ref="N8:P8"/>
    <mergeCell ref="G4:H4"/>
    <mergeCell ref="I4:J4"/>
    <mergeCell ref="A12:D12"/>
    <mergeCell ref="P24:S24"/>
  </mergeCells>
  <phoneticPr fontId="6" type="noConversion"/>
  <pageMargins left="1" right="0.75" top="0.75" bottom="0.75" header="0.5" footer="0.25"/>
  <pageSetup scale="69" orientation="landscape" r:id="rId1"/>
  <headerFooter alignWithMargins="0">
    <oddFooter>&amp;LRevised 03-07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4"/>
  <sheetViews>
    <sheetView workbookViewId="0">
      <selection activeCell="H42" sqref="H42"/>
    </sheetView>
  </sheetViews>
  <sheetFormatPr defaultRowHeight="12.75" x14ac:dyDescent="0.2"/>
  <sheetData>
    <row r="1" spans="1:2" x14ac:dyDescent="0.2">
      <c r="B1" s="1" t="s">
        <v>55</v>
      </c>
    </row>
    <row r="2" spans="1:2" x14ac:dyDescent="0.2">
      <c r="A2">
        <v>1</v>
      </c>
    </row>
    <row r="3" spans="1:2" x14ac:dyDescent="0.2">
      <c r="A3">
        <v>2</v>
      </c>
      <c r="B3" t="s">
        <v>56</v>
      </c>
    </row>
    <row r="4" spans="1:2" x14ac:dyDescent="0.2">
      <c r="A4">
        <v>3</v>
      </c>
      <c r="B4" t="s">
        <v>57</v>
      </c>
    </row>
    <row r="5" spans="1:2" x14ac:dyDescent="0.2">
      <c r="A5">
        <v>4</v>
      </c>
      <c r="B5" t="s">
        <v>58</v>
      </c>
    </row>
    <row r="6" spans="1:2" x14ac:dyDescent="0.2">
      <c r="A6">
        <v>5</v>
      </c>
      <c r="B6" t="s">
        <v>59</v>
      </c>
    </row>
    <row r="7" spans="1:2" x14ac:dyDescent="0.2">
      <c r="A7">
        <v>6</v>
      </c>
      <c r="B7" t="s">
        <v>60</v>
      </c>
    </row>
    <row r="8" spans="1:2" x14ac:dyDescent="0.2">
      <c r="A8">
        <v>7</v>
      </c>
      <c r="B8" t="s">
        <v>61</v>
      </c>
    </row>
    <row r="9" spans="1:2" x14ac:dyDescent="0.2">
      <c r="A9">
        <v>8</v>
      </c>
      <c r="B9" t="s">
        <v>62</v>
      </c>
    </row>
    <row r="10" spans="1:2" x14ac:dyDescent="0.2">
      <c r="A10">
        <v>9</v>
      </c>
      <c r="B10" t="s">
        <v>63</v>
      </c>
    </row>
    <row r="11" spans="1:2" x14ac:dyDescent="0.2">
      <c r="A11">
        <v>10</v>
      </c>
      <c r="B11" t="s">
        <v>64</v>
      </c>
    </row>
    <row r="12" spans="1:2" x14ac:dyDescent="0.2">
      <c r="A12">
        <v>11</v>
      </c>
      <c r="B12" t="s">
        <v>65</v>
      </c>
    </row>
    <row r="13" spans="1:2" x14ac:dyDescent="0.2">
      <c r="A13">
        <v>12</v>
      </c>
      <c r="B13" t="s">
        <v>66</v>
      </c>
    </row>
    <row r="14" spans="1:2" x14ac:dyDescent="0.2">
      <c r="A14">
        <v>13</v>
      </c>
      <c r="B14" t="s">
        <v>67</v>
      </c>
    </row>
    <row r="15" spans="1:2" x14ac:dyDescent="0.2">
      <c r="A15">
        <v>14</v>
      </c>
      <c r="B15" t="s">
        <v>68</v>
      </c>
    </row>
    <row r="16" spans="1:2" x14ac:dyDescent="0.2">
      <c r="A16">
        <v>15</v>
      </c>
      <c r="B16" t="s">
        <v>69</v>
      </c>
    </row>
    <row r="17" spans="1:2" x14ac:dyDescent="0.2">
      <c r="A17">
        <v>16</v>
      </c>
      <c r="B17" t="s">
        <v>70</v>
      </c>
    </row>
    <row r="18" spans="1:2" x14ac:dyDescent="0.2">
      <c r="A18">
        <v>17</v>
      </c>
      <c r="B18" t="s">
        <v>71</v>
      </c>
    </row>
    <row r="19" spans="1:2" x14ac:dyDescent="0.2">
      <c r="A19">
        <v>18</v>
      </c>
      <c r="B19" t="s">
        <v>72</v>
      </c>
    </row>
    <row r="20" spans="1:2" x14ac:dyDescent="0.2">
      <c r="A20">
        <v>19</v>
      </c>
      <c r="B20" t="s">
        <v>73</v>
      </c>
    </row>
    <row r="21" spans="1:2" x14ac:dyDescent="0.2">
      <c r="A21">
        <v>20</v>
      </c>
      <c r="B21" t="s">
        <v>74</v>
      </c>
    </row>
    <row r="22" spans="1:2" x14ac:dyDescent="0.2">
      <c r="A22">
        <v>21</v>
      </c>
      <c r="B22" t="s">
        <v>75</v>
      </c>
    </row>
    <row r="23" spans="1:2" x14ac:dyDescent="0.2">
      <c r="A23">
        <v>22</v>
      </c>
      <c r="B23" t="s">
        <v>76</v>
      </c>
    </row>
    <row r="24" spans="1:2" x14ac:dyDescent="0.2">
      <c r="A24">
        <v>23</v>
      </c>
      <c r="B24" t="s">
        <v>77</v>
      </c>
    </row>
    <row r="25" spans="1:2" x14ac:dyDescent="0.2">
      <c r="A25">
        <v>24</v>
      </c>
      <c r="B25" t="s">
        <v>78</v>
      </c>
    </row>
    <row r="26" spans="1:2" x14ac:dyDescent="0.2">
      <c r="A26">
        <v>25</v>
      </c>
      <c r="B26" t="s">
        <v>79</v>
      </c>
    </row>
    <row r="27" spans="1:2" x14ac:dyDescent="0.2">
      <c r="A27">
        <v>26</v>
      </c>
      <c r="B27" t="s">
        <v>80</v>
      </c>
    </row>
    <row r="28" spans="1:2" x14ac:dyDescent="0.2">
      <c r="A28">
        <v>27</v>
      </c>
      <c r="B28" t="s">
        <v>81</v>
      </c>
    </row>
    <row r="29" spans="1:2" x14ac:dyDescent="0.2">
      <c r="A29">
        <v>28</v>
      </c>
      <c r="B29" t="s">
        <v>82</v>
      </c>
    </row>
    <row r="30" spans="1:2" x14ac:dyDescent="0.2">
      <c r="A30">
        <v>29</v>
      </c>
      <c r="B30" t="s">
        <v>83</v>
      </c>
    </row>
    <row r="31" spans="1:2" x14ac:dyDescent="0.2">
      <c r="A31">
        <v>30</v>
      </c>
      <c r="B31" t="s">
        <v>84</v>
      </c>
    </row>
    <row r="32" spans="1:2" x14ac:dyDescent="0.2">
      <c r="A32">
        <v>31</v>
      </c>
      <c r="B32" t="s">
        <v>85</v>
      </c>
    </row>
    <row r="33" spans="1:2" x14ac:dyDescent="0.2">
      <c r="A33">
        <v>32</v>
      </c>
      <c r="B33" t="s">
        <v>86</v>
      </c>
    </row>
    <row r="34" spans="1:2" x14ac:dyDescent="0.2">
      <c r="A34">
        <v>33</v>
      </c>
      <c r="B34" t="s">
        <v>87</v>
      </c>
    </row>
    <row r="35" spans="1:2" x14ac:dyDescent="0.2">
      <c r="A35">
        <v>34</v>
      </c>
      <c r="B35" t="s">
        <v>88</v>
      </c>
    </row>
    <row r="36" spans="1:2" x14ac:dyDescent="0.2">
      <c r="A36">
        <v>35</v>
      </c>
      <c r="B36" t="s">
        <v>89</v>
      </c>
    </row>
    <row r="37" spans="1:2" x14ac:dyDescent="0.2">
      <c r="A37">
        <v>36</v>
      </c>
      <c r="B37" t="s">
        <v>90</v>
      </c>
    </row>
    <row r="38" spans="1:2" x14ac:dyDescent="0.2">
      <c r="A38">
        <v>37</v>
      </c>
      <c r="B38" t="s">
        <v>91</v>
      </c>
    </row>
    <row r="39" spans="1:2" x14ac:dyDescent="0.2">
      <c r="A39">
        <v>38</v>
      </c>
      <c r="B39" t="s">
        <v>92</v>
      </c>
    </row>
    <row r="40" spans="1:2" x14ac:dyDescent="0.2">
      <c r="A40">
        <v>39</v>
      </c>
      <c r="B40" t="s">
        <v>93</v>
      </c>
    </row>
    <row r="41" spans="1:2" x14ac:dyDescent="0.2">
      <c r="A41">
        <v>40</v>
      </c>
      <c r="B41" t="s">
        <v>94</v>
      </c>
    </row>
    <row r="42" spans="1:2" x14ac:dyDescent="0.2">
      <c r="A42">
        <v>41</v>
      </c>
      <c r="B42" t="s">
        <v>95</v>
      </c>
    </row>
    <row r="43" spans="1:2" x14ac:dyDescent="0.2">
      <c r="A43">
        <v>42</v>
      </c>
      <c r="B43" t="s">
        <v>96</v>
      </c>
    </row>
    <row r="44" spans="1:2" x14ac:dyDescent="0.2">
      <c r="A44">
        <v>43</v>
      </c>
      <c r="B44" t="s">
        <v>97</v>
      </c>
    </row>
    <row r="45" spans="1:2" x14ac:dyDescent="0.2">
      <c r="A45">
        <v>44</v>
      </c>
      <c r="B45" t="s">
        <v>98</v>
      </c>
    </row>
    <row r="46" spans="1:2" x14ac:dyDescent="0.2">
      <c r="A46">
        <v>45</v>
      </c>
      <c r="B46" t="s">
        <v>99</v>
      </c>
    </row>
    <row r="47" spans="1:2" x14ac:dyDescent="0.2">
      <c r="A47">
        <v>46</v>
      </c>
      <c r="B47" t="s">
        <v>100</v>
      </c>
    </row>
    <row r="48" spans="1:2" x14ac:dyDescent="0.2">
      <c r="A48">
        <v>47</v>
      </c>
      <c r="B48" t="s">
        <v>101</v>
      </c>
    </row>
    <row r="51" spans="5:5" x14ac:dyDescent="0.2">
      <c r="E51" s="2"/>
    </row>
    <row r="52" spans="5:5" x14ac:dyDescent="0.2">
      <c r="E52" s="2"/>
    </row>
    <row r="53" spans="5:5" x14ac:dyDescent="0.2">
      <c r="E53" s="2"/>
    </row>
    <row r="54" spans="5:5" x14ac:dyDescent="0.2">
      <c r="E54" s="2"/>
    </row>
  </sheetData>
  <phoneticPr fontId="6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0B189A61C87742A2CEF89E59A4C877" ma:contentTypeVersion="1" ma:contentTypeDescription="Create a new document." ma:contentTypeScope="" ma:versionID="1e8609944551235cc6b0136c5c89877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f3f958499763858251c2bd8b2f76aa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D0BA65D7-E7EA-44AA-A76A-A2D72361D9C3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020FBE0-33F5-427A-A92A-C63194C1F8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E385B13-12F0-4B4B-ABF5-390D543E7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4A4D76-B5A8-4083-B7AD-C4DFD1F53094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Structure Sizing Data</vt:lpstr>
      <vt:lpstr>Circular Structure Sizing</vt:lpstr>
      <vt:lpstr>Earthen Pit Sizing</vt:lpstr>
      <vt:lpstr>Tables</vt:lpstr>
      <vt:lpstr>'Earthen Pit Sizing'!Print_Area</vt:lpstr>
      <vt:lpstr>'Structure Sizing Data'!Print_Area</vt:lpstr>
    </vt:vector>
  </TitlesOfParts>
  <Company>USDA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chris.s.hamilton</dc:creator>
  <cp:lastModifiedBy>Schaeffer, Anton - NRCS, Harrisonburg, VA</cp:lastModifiedBy>
  <cp:lastPrinted>2007-03-01T15:57:59Z</cp:lastPrinted>
  <dcterms:created xsi:type="dcterms:W3CDTF">2006-09-27T12:20:40Z</dcterms:created>
  <dcterms:modified xsi:type="dcterms:W3CDTF">2014-04-01T18:52:09Z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Cooke, John - NRCS, Richmond, VA</vt:lpwstr>
  </property>
  <property fmtid="{D5CDD505-2E9C-101B-9397-08002B2CF9AE}" pid="3" name="TemplateUrl">
    <vt:lpwstr/>
  </property>
  <property fmtid="{D5CDD505-2E9C-101B-9397-08002B2CF9AE}" pid="4" name="xd_ProgID">
    <vt:lpwstr/>
  </property>
  <property fmtid="{D5CDD505-2E9C-101B-9397-08002B2CF9AE}" pid="5" name="display_urn:schemas-microsoft-com:office:office#Author">
    <vt:lpwstr>Cooke, John - NRCS, Richmond, VA</vt:lpwstr>
  </property>
  <property fmtid="{D5CDD505-2E9C-101B-9397-08002B2CF9AE}" pid="6" name="Order">
    <vt:lpwstr>4600.00000000000</vt:lpwstr>
  </property>
  <property fmtid="{D5CDD505-2E9C-101B-9397-08002B2CF9AE}" pid="7" name="_SourceUrl">
    <vt:lpwstr/>
  </property>
  <property fmtid="{D5CDD505-2E9C-101B-9397-08002B2CF9AE}" pid="8" name="_SharedFileIndex">
    <vt:lpwstr/>
  </property>
</Properties>
</file>