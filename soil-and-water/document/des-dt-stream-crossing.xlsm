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65" windowWidth="15480" windowHeight="11640"/>
  </bookViews>
  <sheets>
    <sheet name="Calculations" sheetId="1" r:id="rId1"/>
    <sheet name="Instructions" sheetId="2" r:id="rId2"/>
    <sheet name="Sheet3" sheetId="3" r:id="rId3"/>
  </sheets>
  <definedNames>
    <definedName name="_xlnm.Print_Area" localSheetId="0">Calculations!$A$1:$K$66</definedName>
    <definedName name="_xlnm.Print_Area" localSheetId="1">Instructions!$A$1:$H$65</definedName>
  </definedNames>
  <calcPr calcId="145621"/>
</workbook>
</file>

<file path=xl/calcChain.xml><?xml version="1.0" encoding="utf-8"?>
<calcChain xmlns="http://schemas.openxmlformats.org/spreadsheetml/2006/main">
  <c r="H62" i="1" l="1"/>
  <c r="H59" i="1"/>
  <c r="G45" i="1"/>
  <c r="X53" i="1"/>
  <c r="C41" i="1"/>
  <c r="C44" i="1"/>
  <c r="H7" i="1"/>
  <c r="V49" i="1"/>
  <c r="AD56" i="1" s="1"/>
  <c r="V50" i="1"/>
  <c r="V56" i="1" s="1"/>
  <c r="V51" i="1"/>
  <c r="V52" i="1"/>
  <c r="W49" i="1"/>
  <c r="W50" i="1"/>
  <c r="W51" i="1"/>
  <c r="W52" i="1"/>
  <c r="C23" i="1"/>
  <c r="W48" i="1"/>
  <c r="Y48" i="1" s="1"/>
  <c r="X48" i="1"/>
  <c r="W53" i="1"/>
  <c r="Y53" i="1"/>
  <c r="G46" i="1"/>
  <c r="V48" i="1"/>
  <c r="V53" i="1"/>
  <c r="G47" i="1"/>
  <c r="S48" i="1"/>
  <c r="S56" i="1" s="1"/>
  <c r="S49" i="1"/>
  <c r="S50" i="1"/>
  <c r="B56" i="1"/>
  <c r="S51" i="1"/>
  <c r="S52" i="1"/>
  <c r="S53" i="1"/>
  <c r="R48" i="1"/>
  <c r="R56" i="1" s="1"/>
  <c r="R49" i="1"/>
  <c r="R50" i="1"/>
  <c r="R51" i="1"/>
  <c r="R52" i="1"/>
  <c r="R53" i="1"/>
  <c r="B58" i="1"/>
  <c r="AD22" i="1"/>
  <c r="V19" i="1"/>
  <c r="V18" i="1"/>
  <c r="AD19" i="1"/>
  <c r="AD21" i="1"/>
  <c r="AD18" i="1"/>
  <c r="AC22" i="1"/>
  <c r="AC21" i="1"/>
  <c r="AC19" i="1"/>
  <c r="AC18" i="1"/>
  <c r="U19" i="1"/>
  <c r="U18" i="1"/>
  <c r="Q19" i="1"/>
  <c r="Q18" i="1"/>
  <c r="R19" i="1"/>
  <c r="R18" i="1"/>
  <c r="G48" i="1"/>
  <c r="B55" i="1"/>
  <c r="B57" i="1"/>
  <c r="C46" i="1"/>
  <c r="X52" i="1" s="1"/>
  <c r="AE56" i="1"/>
  <c r="X50" i="1"/>
  <c r="Y50" i="1" s="1"/>
  <c r="B59" i="1"/>
  <c r="X49" i="1"/>
  <c r="Y49" i="1"/>
  <c r="X51" i="1"/>
  <c r="Y51" i="1" s="1"/>
  <c r="AE59" i="1"/>
  <c r="AE60" i="1" l="1"/>
  <c r="AE61" i="1"/>
  <c r="Y52" i="1"/>
  <c r="Y56" i="1" s="1"/>
  <c r="Y59" i="1" s="1"/>
  <c r="Y60" i="1" s="1"/>
  <c r="Y61" i="1" s="1"/>
  <c r="B61" i="1"/>
  <c r="B62" i="1" s="1"/>
  <c r="W56" i="1"/>
</calcChain>
</file>

<file path=xl/sharedStrings.xml><?xml version="1.0" encoding="utf-8"?>
<sst xmlns="http://schemas.openxmlformats.org/spreadsheetml/2006/main" count="178" uniqueCount="159">
  <si>
    <t>Center</t>
  </si>
  <si>
    <t>Area</t>
  </si>
  <si>
    <t>sq. ft.</t>
  </si>
  <si>
    <t>ft.</t>
  </si>
  <si>
    <t>Velocity</t>
  </si>
  <si>
    <t>Project Description:</t>
  </si>
  <si>
    <t>Stone</t>
  </si>
  <si>
    <t>Left Floodplain</t>
  </si>
  <si>
    <t>Top Left Bank</t>
  </si>
  <si>
    <t>Toe Left Bank</t>
  </si>
  <si>
    <t>Toe Right Bank</t>
  </si>
  <si>
    <t>Top Right Bank</t>
  </si>
  <si>
    <t>Right Floodplain</t>
  </si>
  <si>
    <t>Section</t>
  </si>
  <si>
    <t>TOTAL</t>
  </si>
  <si>
    <t>WP</t>
  </si>
  <si>
    <t>Bankfull Depth Plot</t>
  </si>
  <si>
    <t>Channel Capacity ("Bankfull" Flow)</t>
  </si>
  <si>
    <t>cfs</t>
  </si>
  <si>
    <t>fps</t>
  </si>
  <si>
    <t>Bankfull channel "n":</t>
  </si>
  <si>
    <t>X</t>
  </si>
  <si>
    <t>Y</t>
  </si>
  <si>
    <t>Q10 Trial Depth Plot</t>
  </si>
  <si>
    <t>Flow rate, Q = VA =</t>
  </si>
  <si>
    <t>Prepared by:</t>
  </si>
  <si>
    <t>(Select the lower top of bank elevation.)</t>
  </si>
  <si>
    <t>Minor</t>
  </si>
  <si>
    <t>Appreciable</t>
  </si>
  <si>
    <t>Severe</t>
  </si>
  <si>
    <t>Channel character</t>
  </si>
  <si>
    <t>Irregularity</t>
  </si>
  <si>
    <t>Size &amp; shape variations</t>
  </si>
  <si>
    <t>Obstructions</t>
  </si>
  <si>
    <t>Vegetation</t>
  </si>
  <si>
    <t xml:space="preserve">Coefficient for meander: </t>
  </si>
  <si>
    <t>(Use 0 for Minor, 0.3 for Severe)</t>
  </si>
  <si>
    <t>n1 =</t>
  </si>
  <si>
    <t>n2 =</t>
  </si>
  <si>
    <t>n3 =</t>
  </si>
  <si>
    <t>n4 =</t>
  </si>
  <si>
    <t>n5 =</t>
  </si>
  <si>
    <t>ns =</t>
  </si>
  <si>
    <t>n6 =</t>
  </si>
  <si>
    <t>Method (EFH2, USGS, etc.):</t>
  </si>
  <si>
    <t>Sum of n1 through n5</t>
  </si>
  <si>
    <t>In-Channel Flow at Design Depth</t>
  </si>
  <si>
    <t>8"</t>
  </si>
  <si>
    <t>&gt;6.0 fps</t>
  </si>
  <si>
    <t>(See Cowan as referenced in VA Erosion &amp; Sediment Control Handbook)</t>
  </si>
  <si>
    <t>consult Engineering staff</t>
  </si>
  <si>
    <t>1. Enter Survey Data (ft):</t>
  </si>
  <si>
    <t>Cross Section:</t>
  </si>
  <si>
    <t>Profile (riffle to riffle):</t>
  </si>
  <si>
    <t xml:space="preserve">Area of channel, A: </t>
  </si>
  <si>
    <t>Wetted perimeter, P:</t>
  </si>
  <si>
    <t>Hydraulic radius, R:</t>
  </si>
  <si>
    <t>Slope (decimal), S:</t>
  </si>
  <si>
    <t>Bankfull velocity, V =</t>
  </si>
  <si>
    <r>
      <t>d</t>
    </r>
    <r>
      <rPr>
        <sz val="6"/>
        <rFont val="Arial"/>
        <family val="2"/>
      </rPr>
      <t xml:space="preserve">50 </t>
    </r>
    <r>
      <rPr>
        <sz val="10"/>
        <rFont val="Arial"/>
      </rPr>
      <t>= 2", d</t>
    </r>
    <r>
      <rPr>
        <sz val="6"/>
        <rFont val="Arial"/>
        <family val="2"/>
      </rPr>
      <t xml:space="preserve">100 </t>
    </r>
    <r>
      <rPr>
        <sz val="10"/>
        <rFont val="Arial"/>
      </rPr>
      <t>= 4"</t>
    </r>
  </si>
  <si>
    <t>Min. Depth</t>
  </si>
  <si>
    <t>Vertical Lines for In-Channel Flow</t>
  </si>
  <si>
    <t>Instructions for Using the Stream Crossing Worksheet</t>
  </si>
  <si>
    <t>1.  Enter Survey Data (ft):</t>
  </si>
  <si>
    <t>Background:</t>
  </si>
  <si>
    <t>The March 2008 version of Conservation Practice Standard 578 requires calculation of the:</t>
  </si>
  <si>
    <t xml:space="preserve">           •  2-yr, 24-hr peak runoff rate for culvert crossings, and the</t>
  </si>
  <si>
    <t xml:space="preserve">           • 10-yr, 24-hr peak runoff rate for ford crossings.</t>
  </si>
  <si>
    <t>These design flows can be determined with existing NRCS computation tools:  EFH2, USGS regression equations, etc.</t>
  </si>
  <si>
    <t xml:space="preserve">This spreadsheet provides a means for determining the water surface elevation corresponding to the desired flow </t>
  </si>
  <si>
    <t>Instructions:</t>
  </si>
  <si>
    <t>2. Compute in-channel "n" value:</t>
  </si>
  <si>
    <t>Select values to describe the roughness of the channel (not including the floodplain).  See pages V135-V139 in the</t>
  </si>
  <si>
    <t xml:space="preserve">Virginia Erosion and Sediment Control Handbook (1992 Edition) for guidance.  Based on the computed value for </t>
  </si>
  <si>
    <t>Enter the bankfull water surface elevation.  This is usually the lower of the Top Left Bank or Top Right Bank elevations.</t>
  </si>
  <si>
    <t xml:space="preserve">and record the method used in the spaces provided.  Next, enter a water surface elevation and adjust until the computed </t>
  </si>
  <si>
    <t>A different value can be entered if recommended by the Area Engineer.  Velocity is computed using the bankfull "n" value.</t>
  </si>
  <si>
    <t>Design Flow Trials</t>
  </si>
  <si>
    <t xml:space="preserve">Determine the desired design flow rate (such as Q2 or Q10) using NRCS tools or other methods.  Enter the design flow rate </t>
  </si>
  <si>
    <t>The cross section is divided into six parts. Area and wetted perimeter are computed for each part based on the water level.</t>
  </si>
  <si>
    <t>If the water level is above the floodplain, the channel boundaries are extended vertically upward.  However, these extensions</t>
  </si>
  <si>
    <t>do not contribute to the wetted perimeter.</t>
  </si>
  <si>
    <t>that is, the velocity of the water flowing between the Left and Right tops of bank.  The bankfull channel "n" value is used.</t>
  </si>
  <si>
    <t>Upstream station:</t>
  </si>
  <si>
    <t>Downstream station:</t>
  </si>
  <si>
    <t>The gray cells on the worksheet are for user input.</t>
  </si>
  <si>
    <t>Computed values are shown in pale yellow cells.</t>
  </si>
  <si>
    <t xml:space="preserve">the velocity of the "in-channel" flow -- the faster moving flow within the main channel (not including the floodplain). </t>
  </si>
  <si>
    <t>This velocity is used for selecting an appropriate stone size.</t>
  </si>
  <si>
    <t>WSE = G34</t>
  </si>
  <si>
    <t>WSE = B48 = G34</t>
  </si>
  <si>
    <t xml:space="preserve">Design Q from other tools: </t>
  </si>
  <si>
    <t>WSE = H48</t>
  </si>
  <si>
    <t xml:space="preserve">2. Compute in-channel "n" value: </t>
  </si>
  <si>
    <t>3.  Determine Water Surface Elevation for Design Flow:</t>
  </si>
  <si>
    <t>4. In-Channel Flow at Design Water Surface Elevation:</t>
  </si>
  <si>
    <t>4a.  Bankfull Flow:</t>
  </si>
  <si>
    <t xml:space="preserve">Bankfull flow is generally associated with the the 2-year storm.  Conservation Practice Standard 578 states that ford crossings </t>
  </si>
  <si>
    <t xml:space="preserve">This section of the worksheet uses the water surface elevation determined in #3 and computes an in-channel velocity -- </t>
  </si>
  <si>
    <t xml:space="preserve">Culvert Flow Hydraulics Formula tool.  For ford crossings, this water surface elevation is used in step #4 to determine </t>
  </si>
  <si>
    <t>(To approximate design flow.)</t>
  </si>
  <si>
    <t>Slope:</t>
  </si>
  <si>
    <t xml:space="preserve">Survey data entered on the left side of the worksheet are plotted in the graphs to the right.  Seven points are allowed to </t>
  </si>
  <si>
    <t>Note:  Consider placing the crossing where livestock are already crossing the stream.</t>
  </si>
  <si>
    <t>Stream Crossing Worksheet</t>
  </si>
  <si>
    <t>Flow rate, Q:</t>
  </si>
  <si>
    <t>Resulting avg. velocity = Q/A:</t>
  </si>
  <si>
    <t>0.0-6.0 fps</t>
  </si>
  <si>
    <t>5. Stone Size Required for Ford Crossing:</t>
  </si>
  <si>
    <t>Storm Return Period:</t>
  </si>
  <si>
    <t>(use sections 2-5 from out-of-bank calculations)</t>
  </si>
  <si>
    <r>
      <t>Manning's equation:  V = (1.486 / n) * R</t>
    </r>
    <r>
      <rPr>
        <i/>
        <vertAlign val="superscript"/>
        <sz val="8"/>
        <color indexed="12"/>
        <rFont val="Arial"/>
        <family val="2"/>
      </rPr>
      <t>2/3</t>
    </r>
    <r>
      <rPr>
        <i/>
        <sz val="8"/>
        <color indexed="12"/>
        <rFont val="Arial"/>
        <family val="2"/>
      </rPr>
      <t xml:space="preserve"> * S</t>
    </r>
    <r>
      <rPr>
        <i/>
        <vertAlign val="superscript"/>
        <sz val="8"/>
        <color indexed="12"/>
        <rFont val="Arial"/>
        <family val="2"/>
      </rPr>
      <t>1/2</t>
    </r>
    <r>
      <rPr>
        <i/>
        <sz val="8"/>
        <color indexed="12"/>
        <rFont val="Arial"/>
        <family val="2"/>
      </rPr>
      <t xml:space="preserve"> </t>
    </r>
  </si>
  <si>
    <t>n</t>
  </si>
  <si>
    <t>V</t>
  </si>
  <si>
    <t>Q = VA</t>
  </si>
  <si>
    <t>WP * n^2</t>
  </si>
  <si>
    <t>n-bankfull</t>
  </si>
  <si>
    <t>Area (ft^2)</t>
  </si>
  <si>
    <t>WP (ft)</t>
  </si>
  <si>
    <t>n-composite</t>
  </si>
  <si>
    <t>through trial and error.  In the case of culvert flow, the water surface elevation can be used as a tailwater input to the</t>
  </si>
  <si>
    <t>Composite n value:</t>
  </si>
  <si>
    <t>Bankfull channel n:</t>
  </si>
  <si>
    <t>Coefficient of Meander Choices</t>
  </si>
  <si>
    <t>User-defined "n" for Left Floodplain:</t>
  </si>
  <si>
    <t>User-defined "n" for Right Floodplain:</t>
  </si>
  <si>
    <t>yrs</t>
  </si>
  <si>
    <t xml:space="preserve">describe the channel cross section and adjacent floodplain.  Two points describe the profile which is plotted below the cross-section.  </t>
  </si>
  <si>
    <t>The x and y axes may need to be adjusted to improve readability.  To do so, right-click the axis (a black square should appear at</t>
  </si>
  <si>
    <t>bankfull channel "n" and knowledge of the floodplain surface, pick a left and right floodplain "n" value for out-of-bank flow computations.</t>
  </si>
  <si>
    <t>These values will be used to compute a composite 'n" value which will be used to calculate out-of-bank flow.</t>
  </si>
  <si>
    <t>Ask your Area Engineer for guidance in selecting "n" values.</t>
  </si>
  <si>
    <t>flow rate is close to the design value determined by other means.  These computations make use of the composite "n" value.</t>
  </si>
  <si>
    <t>It is this velocity which is used for sizing stone.  This velocity is computed by applying Manning's formula to a cross-section</t>
  </si>
  <si>
    <t xml:space="preserve">defined by the design WSE and the two tops of bank (floodplains are cut off).  Because it ignores the turbulence between the </t>
  </si>
  <si>
    <t>floodplain and in-channel zones noted by Dan Moore, this estimate of velocity can be assumed to be conservatively high.</t>
  </si>
  <si>
    <t xml:space="preserve">must be able to withstand the 10-year 24-hr peak flow.  However, bankfull flow is still of interest for culvert crossings and </t>
  </si>
  <si>
    <t>streambank stabilization projects.</t>
  </si>
  <si>
    <t>For culvert crossings, the standard says to use the lesser of the bankful or 2-yr, 24-hr peak discharge.  The water surface elevation</t>
  </si>
  <si>
    <t>associated with the lesser of these two values can be entered as the tailwater elvation in NRCS' Culvert Flow tool.</t>
  </si>
  <si>
    <t>Trial water surface elev. (ft):</t>
  </si>
  <si>
    <t>Bankfull water surface elev. (ft):</t>
  </si>
  <si>
    <t xml:space="preserve">each end of the scale).  Select "Format Axis" and then click on the Scale tab.  Adjust the max and min values as appropriate.  </t>
  </si>
  <si>
    <t xml:space="preserve">You will also likely need to adjust where the x and y axes cross each other. </t>
  </si>
  <si>
    <t xml:space="preserve">http://www.wsi.nrcs.usda.gov/products/w2q/downloads/papers/manningsNaturally.pdf </t>
  </si>
  <si>
    <t xml:space="preserve">The method used for computing the composite n is as described by Dan Moore in :  </t>
  </si>
  <si>
    <t>which cites Chow's Open Channel Hydraulics (Eq. 6-18).</t>
  </si>
  <si>
    <t>Elevation (ft)</t>
  </si>
  <si>
    <t>Distance (ft)</t>
  </si>
  <si>
    <t>Note:  Plot scales can be modified by right-clicking them and then</t>
  </si>
  <si>
    <t>choosing "Format Axis."</t>
  </si>
  <si>
    <t>Version 01.12</t>
  </si>
  <si>
    <t>4.  Bankfull Flow:</t>
  </si>
  <si>
    <t>Tailwater surface elevation to use in Culvert Flow Tool (ft):</t>
  </si>
  <si>
    <t>(Use for culvert crossings.)</t>
  </si>
  <si>
    <t>6. Design Capacity for Culvert Flow</t>
  </si>
  <si>
    <t>Q = lesser of Q2 and bankfull flow         =</t>
  </si>
  <si>
    <t>ft</t>
  </si>
  <si>
    <t xml:space="preserve">ENABLE macros to use the buttons on this spreadsheet.  For culvert crossings, compute the peak flow rate for the desired design storm for the watershed draining to the proposed crossing.  Use EFH-2 or other means to perform this calculation. (Use the 2-yr, 24 hr storm for culvert crossings, according to VA CPS 578.)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</si>
</sst>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7" formatCode="0.0"/>
  </numFmts>
  <fonts count="25" x14ac:knownFonts="1">
    <font>
      <sz val="10"/>
      <name val="Arial"/>
    </font>
    <font>
      <sz val="10"/>
      <name val="Arial"/>
    </font>
    <font>
      <sz val="8"/>
      <name val="Arial"/>
      <family val="2"/>
    </font>
    <font>
      <b/>
      <u/>
      <sz val="14"/>
      <color indexed="12"/>
      <name val="Arial"/>
      <family val="2"/>
    </font>
    <font>
      <sz val="16"/>
      <name val="Arial"/>
      <family val="2"/>
    </font>
    <font>
      <sz val="12"/>
      <name val="Arial"/>
      <family val="2"/>
    </font>
    <font>
      <b/>
      <sz val="12"/>
      <name val="Arial"/>
      <family val="2"/>
    </font>
    <font>
      <sz val="8"/>
      <name val="Arial"/>
      <family val="2"/>
    </font>
    <font>
      <b/>
      <sz val="10"/>
      <name val="Arial"/>
      <family val="2"/>
    </font>
    <font>
      <sz val="6"/>
      <name val="Arial"/>
      <family val="2"/>
    </font>
    <font>
      <sz val="6"/>
      <name val="Arial"/>
      <family val="2"/>
    </font>
    <font>
      <sz val="10"/>
      <name val="Arial"/>
      <family val="2"/>
    </font>
    <font>
      <i/>
      <sz val="8"/>
      <color indexed="12"/>
      <name val="Arial"/>
      <family val="2"/>
    </font>
    <font>
      <b/>
      <i/>
      <sz val="10"/>
      <color indexed="12"/>
      <name val="Arial"/>
      <family val="2"/>
    </font>
    <font>
      <i/>
      <vertAlign val="superscript"/>
      <sz val="8"/>
      <color indexed="12"/>
      <name val="Arial"/>
      <family val="2"/>
    </font>
    <font>
      <b/>
      <sz val="12"/>
      <color indexed="12"/>
      <name val="Arial"/>
      <family val="2"/>
    </font>
    <font>
      <sz val="12"/>
      <name val="Times New Roman"/>
      <family val="1"/>
    </font>
    <font>
      <b/>
      <sz val="11"/>
      <name val="Arial"/>
      <family val="2"/>
    </font>
    <font>
      <sz val="11"/>
      <name val="Arial"/>
      <family val="2"/>
    </font>
    <font>
      <b/>
      <i/>
      <sz val="10"/>
      <color indexed="10"/>
      <name val="Arial"/>
      <family val="2"/>
    </font>
    <font>
      <b/>
      <sz val="10"/>
      <color indexed="10"/>
      <name val="Arial"/>
      <family val="2"/>
    </font>
    <font>
      <i/>
      <sz val="10"/>
      <color indexed="12"/>
      <name val="Arial"/>
      <family val="2"/>
    </font>
    <font>
      <sz val="10"/>
      <color indexed="12"/>
      <name val="Arial"/>
      <family val="2"/>
    </font>
    <font>
      <sz val="8"/>
      <color indexed="12"/>
      <name val="Arial"/>
      <family val="2"/>
    </font>
    <font>
      <b/>
      <sz val="8"/>
      <color indexed="12"/>
      <name val="Arial"/>
      <family val="2"/>
    </font>
  </fonts>
  <fills count="7">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1"/>
        <bgColor indexed="64"/>
      </patternFill>
    </fill>
    <fill>
      <patternFill patternType="solid">
        <fgColor indexed="13"/>
        <bgColor indexed="64"/>
      </patternFill>
    </fill>
    <fill>
      <patternFill patternType="solid">
        <fgColor rgb="FFFFFF00"/>
        <bgColor indexed="64"/>
      </patternFill>
    </fill>
  </fills>
  <borders count="14">
    <border>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s>
  <cellStyleXfs count="1">
    <xf numFmtId="0" fontId="0" fillId="0" borderId="0"/>
  </cellStyleXfs>
  <cellXfs count="161">
    <xf numFmtId="0" fontId="0" fillId="0" borderId="0" xfId="0"/>
    <xf numFmtId="0" fontId="0" fillId="0" borderId="0" xfId="0" applyProtection="1">
      <protection locked="0"/>
    </xf>
    <xf numFmtId="0" fontId="0" fillId="2" borderId="0" xfId="0" applyFill="1" applyProtection="1">
      <protection locked="0"/>
    </xf>
    <xf numFmtId="0" fontId="0" fillId="0" borderId="0" xfId="0" applyNumberFormat="1" applyFill="1" applyBorder="1" applyAlignment="1" applyProtection="1">
      <protection locked="0"/>
    </xf>
    <xf numFmtId="0" fontId="5" fillId="0" borderId="0" xfId="0" applyFont="1" applyProtection="1">
      <protection locked="0"/>
    </xf>
    <xf numFmtId="0" fontId="5" fillId="2" borderId="0" xfId="0" applyFont="1" applyFill="1" applyProtection="1">
      <protection locked="0"/>
    </xf>
    <xf numFmtId="0" fontId="6" fillId="0" borderId="0" xfId="0" applyNumberFormat="1" applyFont="1" applyFill="1" applyBorder="1" applyAlignment="1" applyProtection="1">
      <alignment horizontal="left"/>
      <protection locked="0"/>
    </xf>
    <xf numFmtId="0" fontId="0" fillId="0" borderId="0" xfId="0" applyAlignment="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horizontal="center"/>
      <protection locked="0"/>
    </xf>
    <xf numFmtId="0" fontId="2" fillId="0" borderId="0" xfId="0" applyFont="1" applyFill="1" applyBorder="1" applyProtection="1">
      <protection locked="0"/>
    </xf>
    <xf numFmtId="0" fontId="0" fillId="0" borderId="0" xfId="0" applyBorder="1" applyAlignment="1" applyProtection="1">
      <protection locked="0"/>
    </xf>
    <xf numFmtId="0" fontId="1" fillId="0" borderId="0" xfId="0" applyFont="1" applyProtection="1">
      <protection locked="0"/>
    </xf>
    <xf numFmtId="0" fontId="7" fillId="0" borderId="0" xfId="0" applyFont="1" applyProtection="1">
      <protection locked="0"/>
    </xf>
    <xf numFmtId="0" fontId="5" fillId="0" borderId="0" xfId="0" applyFont="1" applyAlignment="1" applyProtection="1">
      <protection locked="0"/>
    </xf>
    <xf numFmtId="0" fontId="6" fillId="0" borderId="0" xfId="0" applyFont="1" applyAlignment="1" applyProtection="1">
      <alignment horizontal="left" wrapText="1"/>
      <protection locked="0"/>
    </xf>
    <xf numFmtId="0" fontId="2" fillId="0" borderId="0" xfId="0" applyFont="1" applyAlignment="1" applyProtection="1">
      <alignment horizontal="left" wrapText="1"/>
      <protection locked="0"/>
    </xf>
    <xf numFmtId="0" fontId="8" fillId="0" borderId="0" xfId="0" applyFont="1" applyAlignment="1" applyProtection="1">
      <alignment horizontal="left"/>
      <protection locked="0"/>
    </xf>
    <xf numFmtId="0" fontId="5" fillId="0" borderId="0" xfId="0" applyFont="1" applyAlignment="1" applyProtection="1">
      <alignment horizontal="left"/>
      <protection locked="0"/>
    </xf>
    <xf numFmtId="0" fontId="7" fillId="0" borderId="0" xfId="0" applyFont="1" applyAlignment="1" applyProtection="1">
      <alignment horizontal="left"/>
      <protection locked="0"/>
    </xf>
    <xf numFmtId="0" fontId="7" fillId="0" borderId="0" xfId="0" applyFont="1" applyBorder="1" applyAlignment="1" applyProtection="1">
      <protection locked="0"/>
    </xf>
    <xf numFmtId="0" fontId="0" fillId="0" borderId="0" xfId="0" applyFill="1" applyBorder="1" applyProtection="1">
      <protection locked="0"/>
    </xf>
    <xf numFmtId="0" fontId="0" fillId="0" borderId="0" xfId="0" applyAlignment="1" applyProtection="1">
      <alignment wrapText="1"/>
      <protection locked="0"/>
    </xf>
    <xf numFmtId="0" fontId="9" fillId="0" borderId="0" xfId="0" applyFont="1" applyProtection="1">
      <protection locked="0"/>
    </xf>
    <xf numFmtId="167" fontId="1" fillId="3" borderId="1" xfId="0" applyNumberFormat="1" applyFont="1" applyFill="1" applyBorder="1" applyProtection="1"/>
    <xf numFmtId="0" fontId="1" fillId="0" borderId="0" xfId="0" applyFont="1" applyAlignment="1" applyProtection="1">
      <alignment wrapText="1"/>
      <protection locked="0"/>
    </xf>
    <xf numFmtId="167" fontId="1" fillId="3" borderId="2" xfId="0" applyNumberFormat="1" applyFont="1" applyFill="1" applyBorder="1" applyProtection="1"/>
    <xf numFmtId="0" fontId="1" fillId="3" borderId="3" xfId="0" applyFont="1" applyFill="1" applyBorder="1" applyAlignment="1" applyProtection="1">
      <protection locked="0"/>
    </xf>
    <xf numFmtId="164" fontId="1" fillId="3" borderId="1" xfId="0" applyNumberFormat="1" applyFont="1" applyFill="1" applyBorder="1" applyProtection="1"/>
    <xf numFmtId="0" fontId="1" fillId="3" borderId="4" xfId="0" applyFont="1" applyFill="1" applyBorder="1" applyAlignment="1" applyProtection="1">
      <protection locked="0"/>
    </xf>
    <xf numFmtId="167" fontId="1" fillId="0" borderId="0" xfId="0" applyNumberFormat="1" applyFont="1" applyFill="1" applyBorder="1" applyProtection="1">
      <protection locked="0"/>
    </xf>
    <xf numFmtId="0" fontId="1" fillId="0" borderId="0" xfId="0" applyFont="1" applyAlignment="1" applyProtection="1">
      <alignment horizontal="left"/>
      <protection locked="0"/>
    </xf>
    <xf numFmtId="0" fontId="1" fillId="0" borderId="0" xfId="0" applyFont="1" applyAlignment="1" applyProtection="1">
      <alignment horizontal="center"/>
      <protection locked="0"/>
    </xf>
    <xf numFmtId="1" fontId="1" fillId="3" borderId="1" xfId="0" applyNumberFormat="1" applyFont="1" applyFill="1" applyBorder="1" applyProtection="1"/>
    <xf numFmtId="167" fontId="0" fillId="0" borderId="0" xfId="0" applyNumberFormat="1" applyProtection="1">
      <protection locked="0"/>
    </xf>
    <xf numFmtId="0" fontId="1" fillId="0" borderId="0" xfId="0" applyFont="1" applyAlignment="1" applyProtection="1">
      <alignment horizontal="left" wrapText="1"/>
      <protection locked="0"/>
    </xf>
    <xf numFmtId="0" fontId="1" fillId="3" borderId="3" xfId="0" applyFont="1" applyFill="1" applyBorder="1" applyAlignment="1" applyProtection="1">
      <alignment horizontal="left"/>
      <protection locked="0"/>
    </xf>
    <xf numFmtId="0" fontId="0" fillId="0" borderId="0" xfId="0" applyBorder="1" applyProtection="1">
      <protection locked="0"/>
    </xf>
    <xf numFmtId="0" fontId="1" fillId="0" borderId="0" xfId="0" applyFont="1" applyAlignment="1" applyProtection="1">
      <protection locked="0"/>
    </xf>
    <xf numFmtId="0" fontId="1" fillId="4" borderId="5" xfId="0" applyFont="1" applyFill="1" applyBorder="1" applyAlignment="1" applyProtection="1">
      <alignment horizontal="center"/>
      <protection locked="0"/>
    </xf>
    <xf numFmtId="0" fontId="2" fillId="0" borderId="0" xfId="0" applyFont="1" applyFill="1" applyBorder="1" applyAlignment="1" applyProtection="1">
      <protection locked="0"/>
    </xf>
    <xf numFmtId="0" fontId="2" fillId="0" borderId="0" xfId="0" applyFont="1"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protection locked="0"/>
    </xf>
    <xf numFmtId="0" fontId="1" fillId="0" borderId="0" xfId="0" applyFont="1" applyFill="1" applyBorder="1" applyAlignment="1" applyProtection="1">
      <protection locked="0"/>
    </xf>
    <xf numFmtId="0" fontId="11" fillId="0" borderId="0" xfId="0" applyFont="1" applyAlignment="1" applyProtection="1">
      <alignment horizontal="left"/>
      <protection locked="0"/>
    </xf>
    <xf numFmtId="164" fontId="11" fillId="2" borderId="5" xfId="0" applyNumberFormat="1" applyFont="1" applyFill="1" applyBorder="1" applyAlignment="1" applyProtection="1">
      <alignment horizontal="right"/>
      <protection locked="0"/>
    </xf>
    <xf numFmtId="164" fontId="11" fillId="0" borderId="0" xfId="0" applyNumberFormat="1" applyFont="1" applyAlignment="1" applyProtection="1">
      <alignment horizontal="right"/>
      <protection locked="0"/>
    </xf>
    <xf numFmtId="0" fontId="11" fillId="0" borderId="0" xfId="0" applyFont="1" applyProtection="1">
      <protection locked="0"/>
    </xf>
    <xf numFmtId="0" fontId="11" fillId="0" borderId="0" xfId="0" applyFont="1" applyBorder="1" applyAlignment="1" applyProtection="1">
      <protection locked="0"/>
    </xf>
    <xf numFmtId="0" fontId="11" fillId="2" borderId="5" xfId="0" applyFont="1" applyFill="1" applyBorder="1" applyProtection="1">
      <protection locked="0"/>
    </xf>
    <xf numFmtId="0" fontId="0" fillId="0" borderId="0" xfId="0" applyAlignment="1" applyProtection="1">
      <alignment horizontal="left"/>
      <protection locked="0"/>
    </xf>
    <xf numFmtId="0" fontId="11" fillId="0" borderId="0" xfId="0" applyFont="1" applyFill="1" applyBorder="1" applyProtection="1">
      <protection locked="0"/>
    </xf>
    <xf numFmtId="0" fontId="12" fillId="0" borderId="0" xfId="0" applyFont="1" applyProtection="1">
      <protection locked="0"/>
    </xf>
    <xf numFmtId="0" fontId="13" fillId="0" borderId="0" xfId="0" applyFont="1" applyProtection="1">
      <protection locked="0"/>
    </xf>
    <xf numFmtId="0" fontId="12" fillId="0" borderId="0" xfId="0" applyFont="1" applyAlignment="1" applyProtection="1">
      <alignment horizontal="left"/>
      <protection locked="0"/>
    </xf>
    <xf numFmtId="0" fontId="6" fillId="0" borderId="0" xfId="0" applyFont="1" applyAlignment="1" applyProtection="1">
      <alignment wrapText="1"/>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0" fillId="0" borderId="8" xfId="0" applyBorder="1" applyProtection="1">
      <protection locked="0"/>
    </xf>
    <xf numFmtId="0" fontId="0" fillId="0" borderId="9" xfId="0" applyBorder="1" applyProtection="1">
      <protection locked="0"/>
    </xf>
    <xf numFmtId="167" fontId="0" fillId="0" borderId="0" xfId="0" applyNumberFormat="1" applyProtection="1"/>
    <xf numFmtId="0" fontId="0" fillId="0" borderId="10" xfId="0" applyBorder="1" applyProtection="1">
      <protection locked="0"/>
    </xf>
    <xf numFmtId="0" fontId="0" fillId="0" borderId="0" xfId="0" applyBorder="1" applyAlignment="1" applyProtection="1">
      <alignment horizontal="center"/>
      <protection locked="0"/>
    </xf>
    <xf numFmtId="0" fontId="0" fillId="0" borderId="4" xfId="0" applyBorder="1" applyProtection="1">
      <protection locked="0"/>
    </xf>
    <xf numFmtId="0" fontId="0" fillId="0" borderId="8" xfId="0" applyBorder="1" applyAlignment="1" applyProtection="1">
      <alignment horizontal="center"/>
    </xf>
    <xf numFmtId="0" fontId="0" fillId="0" borderId="2" xfId="0" applyBorder="1" applyAlignment="1" applyProtection="1">
      <alignment horizontal="center"/>
    </xf>
    <xf numFmtId="0" fontId="0" fillId="0" borderId="9" xfId="0" applyBorder="1" applyAlignment="1" applyProtection="1">
      <alignment horizontal="center"/>
    </xf>
    <xf numFmtId="0" fontId="0" fillId="0" borderId="4" xfId="0" applyBorder="1" applyAlignment="1" applyProtection="1">
      <alignment horizontal="center"/>
    </xf>
    <xf numFmtId="0" fontId="0" fillId="0" borderId="8" xfId="0" applyBorder="1" applyProtection="1"/>
    <xf numFmtId="0" fontId="0" fillId="0" borderId="0" xfId="0" applyBorder="1" applyProtection="1"/>
    <xf numFmtId="0" fontId="0" fillId="0" borderId="2" xfId="0" applyBorder="1" applyProtection="1"/>
    <xf numFmtId="0" fontId="0" fillId="0" borderId="11" xfId="0" applyBorder="1" applyProtection="1"/>
    <xf numFmtId="0" fontId="1" fillId="0" borderId="0" xfId="0" applyFont="1" applyProtection="1"/>
    <xf numFmtId="0" fontId="8" fillId="0" borderId="0" xfId="0" applyFont="1"/>
    <xf numFmtId="0" fontId="0" fillId="0" borderId="0" xfId="0" applyAlignment="1">
      <alignment horizontal="left"/>
    </xf>
    <xf numFmtId="0" fontId="15" fillId="0" borderId="0" xfId="0" applyFont="1"/>
    <xf numFmtId="0" fontId="16" fillId="0" borderId="0" xfId="0" applyFont="1"/>
    <xf numFmtId="164" fontId="11" fillId="3" borderId="5" xfId="0" applyNumberFormat="1" applyFont="1" applyFill="1" applyBorder="1" applyAlignment="1" applyProtection="1">
      <alignment horizontal="right"/>
    </xf>
    <xf numFmtId="164" fontId="11" fillId="3" borderId="5" xfId="0" applyNumberFormat="1" applyFont="1" applyFill="1" applyBorder="1" applyProtection="1"/>
    <xf numFmtId="0" fontId="12" fillId="0" borderId="0" xfId="0" applyFont="1" applyAlignment="1" applyProtection="1">
      <alignment wrapText="1"/>
      <protection locked="0"/>
    </xf>
    <xf numFmtId="0" fontId="17" fillId="0" borderId="0" xfId="0" applyFont="1"/>
    <xf numFmtId="0" fontId="18" fillId="0" borderId="0" xfId="0" applyFont="1" applyProtection="1">
      <protection locked="0"/>
    </xf>
    <xf numFmtId="0" fontId="18" fillId="0" borderId="0" xfId="0" applyFont="1" applyAlignment="1" applyProtection="1">
      <alignment horizontal="left" wrapText="1"/>
      <protection locked="0"/>
    </xf>
    <xf numFmtId="0" fontId="17" fillId="0" borderId="0" xfId="0" applyFont="1" applyAlignment="1" applyProtection="1">
      <protection locked="0"/>
    </xf>
    <xf numFmtId="0" fontId="17" fillId="0" borderId="0" xfId="0" applyFont="1" applyAlignment="1" applyProtection="1">
      <alignment horizontal="left" wrapText="1"/>
      <protection locked="0"/>
    </xf>
    <xf numFmtId="0" fontId="17" fillId="0" borderId="0" xfId="0" applyFont="1" applyAlignment="1" applyProtection="1">
      <alignment wrapText="1"/>
      <protection locked="0"/>
    </xf>
    <xf numFmtId="0" fontId="17" fillId="0" borderId="0" xfId="0" applyFont="1" applyAlignment="1" applyProtection="1">
      <alignment horizontal="left"/>
      <protection locked="0"/>
    </xf>
    <xf numFmtId="0" fontId="19" fillId="0" borderId="0" xfId="0" applyFont="1" applyProtection="1">
      <protection locked="0"/>
    </xf>
    <xf numFmtId="0" fontId="12" fillId="0" borderId="0" xfId="0" applyFont="1" applyAlignment="1" applyProtection="1">
      <protection locked="0"/>
    </xf>
    <xf numFmtId="0" fontId="12" fillId="0" borderId="0" xfId="0" applyFont="1" applyAlignment="1" applyProtection="1">
      <alignment wrapText="1"/>
    </xf>
    <xf numFmtId="164" fontId="1" fillId="3" borderId="5" xfId="0" applyNumberFormat="1" applyFont="1" applyFill="1" applyBorder="1" applyProtection="1"/>
    <xf numFmtId="0" fontId="1" fillId="0" borderId="12" xfId="0" applyNumberFormat="1" applyFont="1" applyFill="1" applyBorder="1" applyAlignment="1" applyProtection="1">
      <alignment horizontal="right"/>
    </xf>
    <xf numFmtId="0" fontId="1" fillId="0" borderId="0" xfId="0" applyNumberFormat="1" applyFont="1" applyFill="1" applyBorder="1" applyAlignment="1" applyProtection="1"/>
    <xf numFmtId="0" fontId="0" fillId="0" borderId="0" xfId="0" applyAlignment="1"/>
    <xf numFmtId="0" fontId="3" fillId="0" borderId="0" xfId="0" applyNumberFormat="1" applyFont="1" applyFill="1" applyBorder="1" applyAlignment="1" applyProtection="1">
      <alignment horizontal="center"/>
      <protection locked="0"/>
    </xf>
    <xf numFmtId="0" fontId="20" fillId="0" borderId="0" xfId="0" applyNumberFormat="1" applyFont="1" applyFill="1" applyBorder="1" applyAlignment="1" applyProtection="1">
      <alignment horizontal="left" vertical="center" wrapText="1"/>
      <protection locked="0"/>
    </xf>
    <xf numFmtId="0" fontId="1" fillId="0" borderId="3" xfId="0" applyFont="1" applyFill="1" applyBorder="1" applyAlignment="1" applyProtection="1">
      <alignment horizontal="center"/>
    </xf>
    <xf numFmtId="0" fontId="21" fillId="0" borderId="0" xfId="0" applyFont="1" applyAlignment="1"/>
    <xf numFmtId="0" fontId="1" fillId="2" borderId="5" xfId="0" applyFont="1" applyFill="1" applyBorder="1" applyAlignment="1" applyProtection="1">
      <protection locked="0"/>
    </xf>
    <xf numFmtId="0" fontId="1" fillId="0" borderId="0" xfId="0" applyFont="1" applyFill="1" applyBorder="1" applyAlignment="1" applyProtection="1">
      <alignment horizontal="center"/>
    </xf>
    <xf numFmtId="0" fontId="1" fillId="0" borderId="5" xfId="0" applyFont="1" applyFill="1" applyBorder="1" applyAlignment="1" applyProtection="1">
      <alignment horizontal="center"/>
      <protection locked="0"/>
    </xf>
    <xf numFmtId="0" fontId="0" fillId="0" borderId="0" xfId="0" applyFill="1" applyBorder="1"/>
    <xf numFmtId="0" fontId="1" fillId="0" borderId="0" xfId="0" applyFont="1" applyFill="1" applyBorder="1" applyAlignment="1" applyProtection="1"/>
    <xf numFmtId="0" fontId="1" fillId="0" borderId="0" xfId="0" applyFont="1" applyBorder="1" applyAlignment="1" applyProtection="1">
      <alignment horizontal="center"/>
      <protection locked="0"/>
    </xf>
    <xf numFmtId="0" fontId="1" fillId="0" borderId="5" xfId="0" applyFont="1" applyFill="1" applyBorder="1" applyAlignment="1" applyProtection="1"/>
    <xf numFmtId="0" fontId="0" fillId="4" borderId="5" xfId="0" applyFill="1" applyBorder="1" applyAlignment="1">
      <alignment horizontal="center"/>
    </xf>
    <xf numFmtId="0" fontId="22" fillId="0" borderId="0" xfId="0" applyFont="1" applyProtection="1">
      <protection locked="0"/>
    </xf>
    <xf numFmtId="0" fontId="23" fillId="0" borderId="0" xfId="0" applyFont="1" applyAlignment="1" applyProtection="1">
      <alignment horizontal="left" wrapText="1"/>
      <protection locked="0"/>
    </xf>
    <xf numFmtId="0" fontId="22" fillId="0" borderId="0" xfId="0" applyFont="1"/>
    <xf numFmtId="167" fontId="11" fillId="2" borderId="5" xfId="0" applyNumberFormat="1" applyFont="1" applyFill="1" applyBorder="1" applyProtection="1">
      <protection locked="0"/>
    </xf>
    <xf numFmtId="164" fontId="0" fillId="0" borderId="0" xfId="0" applyNumberFormat="1" applyProtection="1"/>
    <xf numFmtId="167" fontId="0" fillId="2" borderId="5" xfId="0" applyNumberFormat="1" applyFill="1" applyBorder="1" applyProtection="1">
      <protection locked="0"/>
    </xf>
    <xf numFmtId="0" fontId="0" fillId="0" borderId="0" xfId="0" applyProtection="1"/>
    <xf numFmtId="0" fontId="0" fillId="3" borderId="3" xfId="0" applyFill="1" applyBorder="1"/>
    <xf numFmtId="0" fontId="0" fillId="3" borderId="3" xfId="0" applyFill="1" applyBorder="1" applyAlignment="1" applyProtection="1">
      <alignment wrapText="1"/>
      <protection locked="0"/>
    </xf>
    <xf numFmtId="164" fontId="0" fillId="3" borderId="1" xfId="0" applyNumberFormat="1" applyFill="1" applyBorder="1" applyAlignment="1" applyProtection="1">
      <alignment wrapText="1"/>
    </xf>
    <xf numFmtId="49" fontId="12" fillId="0" borderId="0" xfId="0" applyNumberFormat="1" applyFont="1" applyAlignment="1" applyProtection="1">
      <alignment vertical="center" wrapText="1"/>
      <protection locked="0"/>
    </xf>
    <xf numFmtId="49" fontId="11" fillId="2" borderId="5" xfId="0" applyNumberFormat="1" applyFont="1" applyFill="1" applyBorder="1" applyAlignment="1" applyProtection="1">
      <alignment horizontal="right" vertical="center" wrapText="1"/>
      <protection locked="0"/>
    </xf>
    <xf numFmtId="164" fontId="0" fillId="3" borderId="1" xfId="0" applyNumberFormat="1" applyFill="1" applyBorder="1"/>
    <xf numFmtId="0" fontId="8" fillId="0" borderId="0" xfId="0" applyFont="1" applyAlignment="1" applyProtection="1">
      <alignment horizontal="center"/>
    </xf>
    <xf numFmtId="167" fontId="1" fillId="6" borderId="1" xfId="0" applyNumberFormat="1" applyFont="1" applyFill="1" applyBorder="1" applyProtection="1"/>
    <xf numFmtId="0" fontId="1" fillId="6" borderId="3" xfId="0" applyFont="1" applyFill="1" applyBorder="1" applyAlignment="1" applyProtection="1">
      <protection locked="0"/>
    </xf>
    <xf numFmtId="0" fontId="11" fillId="0" borderId="0" xfId="0" applyFont="1"/>
    <xf numFmtId="1" fontId="0" fillId="6" borderId="1" xfId="0" applyNumberFormat="1" applyFill="1" applyBorder="1"/>
    <xf numFmtId="0" fontId="11" fillId="6" borderId="3" xfId="0" applyFont="1" applyFill="1" applyBorder="1" applyAlignment="1">
      <alignment horizontal="center" vertical="center"/>
    </xf>
    <xf numFmtId="0" fontId="11" fillId="6" borderId="3" xfId="0" applyFont="1" applyFill="1" applyBorder="1" applyAlignment="1">
      <alignment horizontal="center"/>
    </xf>
    <xf numFmtId="167" fontId="0" fillId="5" borderId="1" xfId="0" applyNumberFormat="1" applyFill="1" applyBorder="1"/>
    <xf numFmtId="0" fontId="1" fillId="2" borderId="5" xfId="0" applyFont="1" applyFill="1" applyBorder="1" applyAlignment="1" applyProtection="1">
      <alignment vertical="center"/>
      <protection locked="0"/>
    </xf>
    <xf numFmtId="0" fontId="3" fillId="0" borderId="0" xfId="0" applyNumberFormat="1" applyFont="1" applyFill="1" applyBorder="1" applyAlignment="1" applyProtection="1">
      <alignment horizontal="center"/>
      <protection locked="0"/>
    </xf>
    <xf numFmtId="0" fontId="4" fillId="0" borderId="0" xfId="0" applyNumberFormat="1" applyFont="1" applyFill="1" applyBorder="1" applyAlignment="1" applyProtection="1">
      <alignment horizontal="center"/>
      <protection locked="0"/>
    </xf>
    <xf numFmtId="0" fontId="11" fillId="2" borderId="1" xfId="0" applyNumberFormat="1" applyFont="1" applyFill="1" applyBorder="1" applyAlignment="1" applyProtection="1">
      <alignment horizontal="left"/>
      <protection locked="0"/>
    </xf>
    <xf numFmtId="0" fontId="1" fillId="2" borderId="13" xfId="0" applyNumberFormat="1" applyFont="1" applyFill="1" applyBorder="1" applyAlignment="1" applyProtection="1">
      <alignment horizontal="left"/>
      <protection locked="0"/>
    </xf>
    <xf numFmtId="0" fontId="1" fillId="2" borderId="3" xfId="0" applyNumberFormat="1" applyFont="1" applyFill="1" applyBorder="1" applyAlignment="1" applyProtection="1">
      <alignment horizontal="left"/>
      <protection locked="0"/>
    </xf>
    <xf numFmtId="14" fontId="1" fillId="2" borderId="13" xfId="0" applyNumberFormat="1" applyFont="1" applyFill="1" applyBorder="1" applyAlignment="1" applyProtection="1">
      <alignment horizontal="center"/>
      <protection locked="0"/>
    </xf>
    <xf numFmtId="0" fontId="1" fillId="2" borderId="3" xfId="0" applyNumberFormat="1" applyFont="1" applyFill="1" applyBorder="1" applyAlignment="1" applyProtection="1">
      <alignment horizontal="center"/>
      <protection locked="0"/>
    </xf>
    <xf numFmtId="0" fontId="20" fillId="0" borderId="0" xfId="0" applyNumberFormat="1" applyFont="1" applyFill="1" applyBorder="1" applyAlignment="1" applyProtection="1">
      <alignment horizontal="left" vertical="center" wrapText="1"/>
      <protection locked="0"/>
    </xf>
    <xf numFmtId="0" fontId="24" fillId="0" borderId="0" xfId="0" applyNumberFormat="1" applyFont="1" applyFill="1" applyBorder="1" applyAlignment="1" applyProtection="1">
      <alignment horizontal="center"/>
      <protection locked="0"/>
    </xf>
    <xf numFmtId="0" fontId="0" fillId="0" borderId="0" xfId="0" applyAlignment="1">
      <alignment horizontal="left"/>
    </xf>
    <xf numFmtId="0" fontId="2" fillId="0" borderId="0" xfId="0" applyFont="1" applyFill="1" applyBorder="1" applyAlignment="1" applyProtection="1">
      <alignment horizontal="left"/>
      <protection locked="0"/>
    </xf>
    <xf numFmtId="0" fontId="2" fillId="2" borderId="1" xfId="0" applyFont="1"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17" fillId="0" borderId="0" xfId="0" applyNumberFormat="1" applyFont="1" applyFill="1" applyBorder="1" applyAlignment="1" applyProtection="1">
      <alignment horizontal="left"/>
      <protection locked="0"/>
    </xf>
    <xf numFmtId="0" fontId="1" fillId="0" borderId="1" xfId="0" applyFont="1" applyFill="1" applyBorder="1" applyAlignment="1" applyProtection="1">
      <alignment horizontal="center"/>
    </xf>
    <xf numFmtId="0" fontId="1" fillId="0" borderId="3" xfId="0" applyFont="1" applyFill="1" applyBorder="1" applyAlignment="1" applyProtection="1">
      <alignment horizontal="center"/>
    </xf>
    <xf numFmtId="0" fontId="0" fillId="4" borderId="1" xfId="0" applyFill="1" applyBorder="1" applyAlignment="1">
      <alignment horizontal="center"/>
    </xf>
    <xf numFmtId="0" fontId="0" fillId="4" borderId="3" xfId="0" applyFill="1" applyBorder="1" applyAlignment="1">
      <alignment horizontal="center"/>
    </xf>
    <xf numFmtId="0" fontId="1" fillId="0" borderId="13" xfId="0" applyFont="1" applyFill="1" applyBorder="1" applyAlignment="1" applyProtection="1">
      <alignment horizontal="center"/>
    </xf>
    <xf numFmtId="0" fontId="11" fillId="0" borderId="0" xfId="0" applyFont="1" applyFill="1" applyBorder="1" applyAlignment="1" applyProtection="1">
      <alignment horizontal="center" vertical="top" wrapText="1"/>
      <protection locked="0"/>
    </xf>
    <xf numFmtId="0" fontId="11" fillId="0" borderId="0" xfId="0" applyFont="1" applyAlignment="1">
      <alignment horizontal="left"/>
    </xf>
    <xf numFmtId="0" fontId="6" fillId="0" borderId="0" xfId="0" applyFont="1" applyAlignment="1">
      <alignment horizontal="center"/>
    </xf>
    <xf numFmtId="0" fontId="0" fillId="0" borderId="0" xfId="0" applyAlignment="1">
      <alignment horizontal="center"/>
    </xf>
    <xf numFmtId="0" fontId="11" fillId="3" borderId="1" xfId="0" applyFont="1" applyFill="1" applyBorder="1" applyAlignment="1">
      <alignment horizontal="left"/>
    </xf>
    <xf numFmtId="0" fontId="11" fillId="3" borderId="13" xfId="0" applyFont="1" applyFill="1" applyBorder="1" applyAlignment="1">
      <alignment horizontal="left"/>
    </xf>
    <xf numFmtId="0" fontId="11" fillId="3" borderId="3" xfId="0" applyFont="1" applyFill="1" applyBorder="1" applyAlignment="1">
      <alignment horizontal="left"/>
    </xf>
    <xf numFmtId="0" fontId="11" fillId="2" borderId="1" xfId="0" applyFont="1" applyFill="1" applyBorder="1" applyAlignment="1">
      <alignment horizontal="left"/>
    </xf>
    <xf numFmtId="0" fontId="11" fillId="2" borderId="13" xfId="0" applyFont="1" applyFill="1" applyBorder="1" applyAlignment="1">
      <alignment horizontal="left"/>
    </xf>
    <xf numFmtId="0" fontId="11" fillId="2" borderId="3" xfId="0" applyFont="1" applyFill="1" applyBorder="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Cross Section</a:t>
            </a:r>
          </a:p>
        </c:rich>
      </c:tx>
      <c:layout>
        <c:manualLayout>
          <c:xMode val="edge"/>
          <c:yMode val="edge"/>
          <c:x val="0.42666770614069277"/>
          <c:y val="1.8867924528301886E-2"/>
        </c:manualLayout>
      </c:layout>
      <c:overlay val="0"/>
      <c:spPr>
        <a:noFill/>
        <a:ln w="25400">
          <a:noFill/>
        </a:ln>
      </c:spPr>
    </c:title>
    <c:autoTitleDeleted val="0"/>
    <c:plotArea>
      <c:layout>
        <c:manualLayout>
          <c:layoutTarget val="inner"/>
          <c:xMode val="edge"/>
          <c:yMode val="edge"/>
          <c:x val="0.14933372222323496"/>
          <c:y val="0.15094367435081507"/>
          <c:w val="0.78400204167198351"/>
          <c:h val="0.52075567651031196"/>
        </c:manualLayout>
      </c:layout>
      <c:scatterChart>
        <c:scatterStyle val="lineMarker"/>
        <c:varyColors val="0"/>
        <c:ser>
          <c:idx val="0"/>
          <c:order val="0"/>
          <c:tx>
            <c:v>Surveyed Section</c:v>
          </c:tx>
          <c:spPr>
            <a:ln w="38100">
              <a:solidFill>
                <a:srgbClr val="008000"/>
              </a:solidFill>
              <a:prstDash val="solid"/>
            </a:ln>
          </c:spPr>
          <c:marker>
            <c:symbol val="diamond"/>
            <c:size val="6"/>
            <c:spPr>
              <a:solidFill>
                <a:srgbClr val="008000"/>
              </a:solidFill>
              <a:ln>
                <a:solidFill>
                  <a:srgbClr val="008000"/>
                </a:solidFill>
                <a:prstDash val="solid"/>
              </a:ln>
            </c:spPr>
          </c:marker>
          <c:xVal>
            <c:numRef>
              <c:f>Calculations!$B$12:$B$18</c:f>
              <c:numCache>
                <c:formatCode>0.0</c:formatCode>
                <c:ptCount val="7"/>
              </c:numCache>
            </c:numRef>
          </c:xVal>
          <c:yVal>
            <c:numRef>
              <c:f>Calculations!$C$12:$C$18</c:f>
              <c:numCache>
                <c:formatCode>0.0</c:formatCode>
                <c:ptCount val="7"/>
              </c:numCache>
            </c:numRef>
          </c:yVal>
          <c:smooth val="0"/>
        </c:ser>
        <c:ser>
          <c:idx val="1"/>
          <c:order val="1"/>
          <c:tx>
            <c:v>Bankfull Water Surf Elev</c:v>
          </c:tx>
          <c:spPr>
            <a:ln w="12700">
              <a:solidFill>
                <a:srgbClr val="0000FF"/>
              </a:solidFill>
              <a:prstDash val="solid"/>
            </a:ln>
          </c:spPr>
          <c:marker>
            <c:symbol val="none"/>
          </c:marker>
          <c:xVal>
            <c:numRef>
              <c:f>Calculations!$Q$18:$Q$19</c:f>
              <c:numCache>
                <c:formatCode>General</c:formatCode>
                <c:ptCount val="2"/>
                <c:pt idx="0">
                  <c:v>0</c:v>
                </c:pt>
                <c:pt idx="1">
                  <c:v>0</c:v>
                </c:pt>
              </c:numCache>
            </c:numRef>
          </c:xVal>
          <c:yVal>
            <c:numRef>
              <c:f>Calculations!$R$18:$R$19</c:f>
              <c:numCache>
                <c:formatCode>General</c:formatCode>
                <c:ptCount val="2"/>
                <c:pt idx="0">
                  <c:v>0</c:v>
                </c:pt>
                <c:pt idx="1">
                  <c:v>0</c:v>
                </c:pt>
              </c:numCache>
            </c:numRef>
          </c:yVal>
          <c:smooth val="0"/>
        </c:ser>
        <c:ser>
          <c:idx val="2"/>
          <c:order val="2"/>
          <c:tx>
            <c:v>Trial Water Surf Elev</c:v>
          </c:tx>
          <c:spPr>
            <a:ln w="12700">
              <a:solidFill>
                <a:srgbClr val="FF0000"/>
              </a:solidFill>
              <a:prstDash val="solid"/>
            </a:ln>
          </c:spPr>
          <c:marker>
            <c:symbol val="none"/>
          </c:marker>
          <c:xVal>
            <c:numRef>
              <c:f>Calculations!$U$18:$U$19</c:f>
              <c:numCache>
                <c:formatCode>General</c:formatCode>
                <c:ptCount val="2"/>
                <c:pt idx="0">
                  <c:v>0</c:v>
                </c:pt>
                <c:pt idx="1">
                  <c:v>0</c:v>
                </c:pt>
              </c:numCache>
            </c:numRef>
          </c:xVal>
          <c:yVal>
            <c:numRef>
              <c:f>Calculations!$V$18:$V$19</c:f>
              <c:numCache>
                <c:formatCode>General</c:formatCode>
                <c:ptCount val="2"/>
                <c:pt idx="0">
                  <c:v>0</c:v>
                </c:pt>
                <c:pt idx="1">
                  <c:v>0</c:v>
                </c:pt>
              </c:numCache>
            </c:numRef>
          </c:yVal>
          <c:smooth val="0"/>
        </c:ser>
        <c:ser>
          <c:idx val="3"/>
          <c:order val="3"/>
          <c:tx>
            <c:v>In-channel boundary</c:v>
          </c:tx>
          <c:spPr>
            <a:ln w="12700">
              <a:solidFill>
                <a:srgbClr val="000000"/>
              </a:solidFill>
              <a:prstDash val="solid"/>
            </a:ln>
          </c:spPr>
          <c:marker>
            <c:symbol val="none"/>
          </c:marker>
          <c:xVal>
            <c:numRef>
              <c:f>Calculations!$AC$18:$AC$22</c:f>
              <c:numCache>
                <c:formatCode>General</c:formatCode>
                <c:ptCount val="5"/>
                <c:pt idx="0">
                  <c:v>0</c:v>
                </c:pt>
                <c:pt idx="1">
                  <c:v>0</c:v>
                </c:pt>
                <c:pt idx="3">
                  <c:v>0</c:v>
                </c:pt>
                <c:pt idx="4">
                  <c:v>0</c:v>
                </c:pt>
              </c:numCache>
            </c:numRef>
          </c:xVal>
          <c:yVal>
            <c:numRef>
              <c:f>Calculations!$AD$18:$AD$22</c:f>
              <c:numCache>
                <c:formatCode>General</c:formatCode>
                <c:ptCount val="5"/>
                <c:pt idx="0">
                  <c:v>0</c:v>
                </c:pt>
                <c:pt idx="1">
                  <c:v>0</c:v>
                </c:pt>
                <c:pt idx="3">
                  <c:v>0</c:v>
                </c:pt>
                <c:pt idx="4">
                  <c:v>0</c:v>
                </c:pt>
              </c:numCache>
            </c:numRef>
          </c:yVal>
          <c:smooth val="0"/>
        </c:ser>
        <c:dLbls>
          <c:showLegendKey val="0"/>
          <c:showVal val="0"/>
          <c:showCatName val="0"/>
          <c:showSerName val="0"/>
          <c:showPercent val="0"/>
          <c:showBubbleSize val="0"/>
        </c:dLbls>
        <c:axId val="126007168"/>
        <c:axId val="137953280"/>
      </c:scatterChart>
      <c:valAx>
        <c:axId val="126007168"/>
        <c:scaling>
          <c:orientation val="minMax"/>
          <c:max val="50"/>
          <c:min val="0"/>
        </c:scaling>
        <c:delete val="0"/>
        <c:axPos val="b"/>
        <c:title>
          <c:tx>
            <c:rich>
              <a:bodyPr/>
              <a:lstStyle/>
              <a:p>
                <a:pPr>
                  <a:defRPr sz="800" b="1" i="0" u="none" strike="noStrike" baseline="0">
                    <a:solidFill>
                      <a:srgbClr val="000000"/>
                    </a:solidFill>
                    <a:latin typeface="Arial"/>
                    <a:ea typeface="Arial"/>
                    <a:cs typeface="Arial"/>
                  </a:defRPr>
                </a:pPr>
                <a:r>
                  <a:rPr lang="en-US"/>
                  <a:t>Distance (ft)</a:t>
                </a:r>
              </a:p>
            </c:rich>
          </c:tx>
          <c:layout>
            <c:manualLayout>
              <c:xMode val="edge"/>
              <c:yMode val="edge"/>
              <c:x val="0.43200124736883133"/>
              <c:y val="0.7584921507453077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7953280"/>
        <c:crossesAt val="90"/>
        <c:crossBetween val="midCat"/>
        <c:majorUnit val="10"/>
        <c:minorUnit val="5"/>
      </c:valAx>
      <c:valAx>
        <c:axId val="137953280"/>
        <c:scaling>
          <c:orientation val="minMax"/>
          <c:max val="100"/>
          <c:min val="90"/>
        </c:scaling>
        <c:delete val="0"/>
        <c:axPos val="l"/>
        <c:majorGridlines>
          <c:spPr>
            <a:ln w="12700">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Elevation (ft)</a:t>
                </a:r>
              </a:p>
            </c:rich>
          </c:tx>
          <c:layout>
            <c:manualLayout>
              <c:xMode val="edge"/>
              <c:yMode val="edge"/>
              <c:x val="1.3333333333333334E-2"/>
              <c:y val="0.27547209429010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6007168"/>
        <c:crossesAt val="0"/>
        <c:crossBetween val="midCat"/>
        <c:majorUnit val="2"/>
        <c:minorUnit val="1"/>
      </c:valAx>
      <c:spPr>
        <a:solidFill>
          <a:srgbClr val="FFFFCC"/>
        </a:solidFill>
        <a:ln w="12700">
          <a:solidFill>
            <a:srgbClr val="000000"/>
          </a:solidFill>
          <a:prstDash val="solid"/>
        </a:ln>
      </c:spPr>
    </c:plotArea>
    <c:legend>
      <c:legendPos val="b"/>
      <c:layout>
        <c:manualLayout>
          <c:xMode val="edge"/>
          <c:yMode val="edge"/>
          <c:x val="0.12533354122813856"/>
          <c:y val="0.84151101866983602"/>
          <c:w val="0.81866895350952418"/>
          <c:h val="0.13584945278066651"/>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2"/>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Profile</a:t>
            </a:r>
          </a:p>
        </c:rich>
      </c:tx>
      <c:layout>
        <c:manualLayout>
          <c:xMode val="edge"/>
          <c:yMode val="edge"/>
          <c:x val="0.47733452872846344"/>
          <c:y val="8.387096774193549E-2"/>
        </c:manualLayout>
      </c:layout>
      <c:overlay val="0"/>
      <c:spPr>
        <a:noFill/>
        <a:ln w="25400">
          <a:noFill/>
        </a:ln>
      </c:spPr>
    </c:title>
    <c:autoTitleDeleted val="0"/>
    <c:plotArea>
      <c:layout>
        <c:manualLayout>
          <c:layoutTarget val="inner"/>
          <c:xMode val="edge"/>
          <c:yMode val="edge"/>
          <c:x val="0.13066700694533059"/>
          <c:y val="0.24516129032258063"/>
          <c:w val="0.82933549306117982"/>
          <c:h val="0.47096774193548385"/>
        </c:manualLayout>
      </c:layout>
      <c:scatterChart>
        <c:scatterStyle val="lineMarker"/>
        <c:varyColors val="0"/>
        <c:ser>
          <c:idx val="0"/>
          <c:order val="0"/>
          <c:tx>
            <c:v>Profle</c:v>
          </c:tx>
          <c:spPr>
            <a:ln w="12700">
              <a:solidFill>
                <a:srgbClr val="000080"/>
              </a:solidFill>
              <a:prstDash val="solid"/>
            </a:ln>
          </c:spPr>
          <c:marker>
            <c:symbol val="diamond"/>
            <c:size val="5"/>
            <c:spPr>
              <a:solidFill>
                <a:srgbClr val="000080"/>
              </a:solidFill>
              <a:ln>
                <a:solidFill>
                  <a:srgbClr val="000080"/>
                </a:solidFill>
                <a:prstDash val="solid"/>
              </a:ln>
            </c:spPr>
          </c:marker>
          <c:xVal>
            <c:numRef>
              <c:f>Calculations!$B$21:$B$22</c:f>
              <c:numCache>
                <c:formatCode>General</c:formatCode>
                <c:ptCount val="2"/>
              </c:numCache>
            </c:numRef>
          </c:xVal>
          <c:yVal>
            <c:numRef>
              <c:f>Calculations!$C$21:$C$22</c:f>
              <c:numCache>
                <c:formatCode>General</c:formatCode>
                <c:ptCount val="2"/>
              </c:numCache>
            </c:numRef>
          </c:yVal>
          <c:smooth val="0"/>
        </c:ser>
        <c:dLbls>
          <c:showLegendKey val="0"/>
          <c:showVal val="0"/>
          <c:showCatName val="0"/>
          <c:showSerName val="0"/>
          <c:showPercent val="0"/>
          <c:showBubbleSize val="0"/>
        </c:dLbls>
        <c:axId val="137977856"/>
        <c:axId val="137980160"/>
      </c:scatterChart>
      <c:valAx>
        <c:axId val="137977856"/>
        <c:scaling>
          <c:orientation val="minMax"/>
          <c:max val="100"/>
          <c:min val="0"/>
        </c:scaling>
        <c:delete val="0"/>
        <c:axPos val="b"/>
        <c:title>
          <c:tx>
            <c:rich>
              <a:bodyPr/>
              <a:lstStyle/>
              <a:p>
                <a:pPr>
                  <a:defRPr sz="800" b="1" i="0" u="none" strike="noStrike" baseline="0">
                    <a:solidFill>
                      <a:srgbClr val="000000"/>
                    </a:solidFill>
                    <a:latin typeface="Arial"/>
                    <a:ea typeface="Arial"/>
                    <a:cs typeface="Arial"/>
                  </a:defRPr>
                </a:pPr>
                <a:r>
                  <a:rPr lang="en-US"/>
                  <a:t>Distance (ft)</a:t>
                </a:r>
              </a:p>
            </c:rich>
          </c:tx>
          <c:layout>
            <c:manualLayout>
              <c:xMode val="edge"/>
              <c:yMode val="edge"/>
              <c:x val="0.4373345287284634"/>
              <c:y val="0.838709677419354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7980160"/>
        <c:crosses val="autoZero"/>
        <c:crossBetween val="midCat"/>
        <c:majorUnit val="20"/>
        <c:minorUnit val="10"/>
      </c:valAx>
      <c:valAx>
        <c:axId val="137980160"/>
        <c:scaling>
          <c:orientation val="minMax"/>
          <c:max val="100"/>
          <c:min val="9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Elevation (ft)</a:t>
                </a:r>
              </a:p>
            </c:rich>
          </c:tx>
          <c:layout>
            <c:manualLayout>
              <c:xMode val="edge"/>
              <c:yMode val="edge"/>
              <c:x val="1.3333333333333334E-2"/>
              <c:y val="0.245161290322580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7977856"/>
        <c:crosses val="autoZero"/>
        <c:crossBetween val="midCat"/>
        <c:majorUnit val="2"/>
        <c:minorUnit val="0.5"/>
      </c:valAx>
      <c:spPr>
        <a:solidFill>
          <a:srgbClr val="FFFFCC"/>
        </a:solidFill>
        <a:ln w="12700">
          <a:solidFill>
            <a:srgbClr val="00000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581025</xdr:colOff>
      <xdr:row>8</xdr:row>
      <xdr:rowOff>0</xdr:rowOff>
    </xdr:from>
    <xdr:to>
      <xdr:col>9</xdr:col>
      <xdr:colOff>0</xdr:colOff>
      <xdr:row>23</xdr:row>
      <xdr:rowOff>38100</xdr:rowOff>
    </xdr:to>
    <xdr:graphicFrame macro="">
      <xdr:nvGraphicFramePr>
        <xdr:cNvPr id="111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581025</xdr:colOff>
      <xdr:row>23</xdr:row>
      <xdr:rowOff>152400</xdr:rowOff>
    </xdr:from>
    <xdr:to>
      <xdr:col>9</xdr:col>
      <xdr:colOff>0</xdr:colOff>
      <xdr:row>32</xdr:row>
      <xdr:rowOff>161925</xdr:rowOff>
    </xdr:to>
    <xdr:graphicFrame macro="">
      <xdr:nvGraphicFramePr>
        <xdr:cNvPr id="111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390525</xdr:colOff>
          <xdr:row>0</xdr:row>
          <xdr:rowOff>57150</xdr:rowOff>
        </xdr:from>
        <xdr:to>
          <xdr:col>0</xdr:col>
          <xdr:colOff>1190625</xdr:colOff>
          <xdr:row>1</xdr:row>
          <xdr:rowOff>104775</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F78"/>
  <sheetViews>
    <sheetView tabSelected="1" workbookViewId="0">
      <selection activeCell="K20" sqref="K20"/>
    </sheetView>
  </sheetViews>
  <sheetFormatPr defaultRowHeight="12.75" x14ac:dyDescent="0.2"/>
  <cols>
    <col min="1" max="1" width="30.28515625" customWidth="1"/>
    <col min="2" max="2" width="13.7109375" customWidth="1"/>
    <col min="3" max="3" width="12.28515625" customWidth="1"/>
    <col min="4" max="4" width="11.42578125" customWidth="1"/>
    <col min="5" max="5" width="2" customWidth="1"/>
    <col min="6" max="6" width="25.85546875" customWidth="1"/>
    <col min="7" max="7" width="14.5703125" customWidth="1"/>
    <col min="8" max="9" width="6.28515625" customWidth="1"/>
    <col min="10" max="10" width="8" customWidth="1"/>
    <col min="11" max="11" width="7.5703125" customWidth="1"/>
    <col min="12" max="12" width="8" customWidth="1"/>
    <col min="17" max="17" width="11" customWidth="1"/>
    <col min="18" max="18" width="11" bestFit="1" customWidth="1"/>
    <col min="20" max="21" width="9.28515625" customWidth="1"/>
    <col min="22" max="22" width="11" bestFit="1" customWidth="1"/>
    <col min="24" max="24" width="11.140625" bestFit="1" customWidth="1"/>
    <col min="30" max="30" width="11" bestFit="1" customWidth="1"/>
    <col min="31" max="31" width="10.28515625" customWidth="1"/>
  </cols>
  <sheetData>
    <row r="1" spans="1:32" x14ac:dyDescent="0.2">
      <c r="A1" s="132" t="s">
        <v>104</v>
      </c>
      <c r="B1" s="132"/>
      <c r="C1" s="132"/>
      <c r="D1" s="132"/>
      <c r="E1" s="132"/>
      <c r="F1" s="132"/>
      <c r="G1" s="132"/>
      <c r="H1" s="132"/>
      <c r="I1" s="132"/>
      <c r="J1" s="1"/>
      <c r="K1" s="1"/>
      <c r="L1" s="1"/>
      <c r="M1" s="1"/>
      <c r="N1" s="2"/>
      <c r="O1" s="1"/>
      <c r="P1" s="1"/>
      <c r="Q1" s="1"/>
      <c r="R1" s="1"/>
      <c r="S1" s="1"/>
      <c r="T1" s="1"/>
      <c r="U1" s="1"/>
      <c r="V1" s="1"/>
      <c r="W1" s="1"/>
      <c r="X1" s="1"/>
      <c r="Y1" s="1"/>
      <c r="Z1" s="1"/>
      <c r="AA1" s="1"/>
      <c r="AB1" s="1"/>
      <c r="AC1" s="1"/>
      <c r="AD1" s="1"/>
      <c r="AE1" s="1"/>
      <c r="AF1" s="1"/>
    </row>
    <row r="2" spans="1:32" ht="9.75" customHeight="1" x14ac:dyDescent="0.2">
      <c r="A2" s="132"/>
      <c r="B2" s="132"/>
      <c r="C2" s="132"/>
      <c r="D2" s="132"/>
      <c r="E2" s="132"/>
      <c r="F2" s="132"/>
      <c r="G2" s="132"/>
      <c r="H2" s="132"/>
      <c r="I2" s="132"/>
      <c r="J2" s="1"/>
      <c r="K2" s="1"/>
      <c r="L2" s="1"/>
      <c r="M2" s="1"/>
      <c r="N2" s="2"/>
      <c r="O2" s="1"/>
      <c r="P2" s="1"/>
      <c r="Q2" s="1"/>
      <c r="R2" s="1"/>
      <c r="S2" s="1"/>
      <c r="T2" s="1"/>
      <c r="U2" s="1"/>
      <c r="V2" s="1"/>
      <c r="W2" s="1"/>
      <c r="X2" s="1"/>
      <c r="Y2" s="1"/>
      <c r="Z2" s="1"/>
      <c r="AA2" s="1"/>
      <c r="AB2" s="1"/>
      <c r="AC2" s="1"/>
      <c r="AD2" s="1"/>
      <c r="AE2" s="1"/>
      <c r="AF2" s="1"/>
    </row>
    <row r="3" spans="1:32" ht="12.75" customHeight="1" x14ac:dyDescent="0.25">
      <c r="A3" s="98"/>
      <c r="B3" s="98"/>
      <c r="C3" s="140" t="s">
        <v>151</v>
      </c>
      <c r="D3" s="140"/>
      <c r="E3" s="140"/>
      <c r="F3" s="98"/>
      <c r="G3" s="98"/>
      <c r="H3" s="98"/>
      <c r="I3" s="98"/>
      <c r="J3" s="1"/>
      <c r="K3" s="1"/>
      <c r="L3" s="1"/>
      <c r="M3" s="1"/>
      <c r="N3" s="2"/>
      <c r="O3" s="1"/>
      <c r="P3" s="1"/>
      <c r="Q3" s="1"/>
      <c r="R3" s="1"/>
      <c r="S3" s="1"/>
      <c r="T3" s="1"/>
      <c r="U3" s="1"/>
      <c r="V3" s="1"/>
      <c r="W3" s="1"/>
      <c r="X3" s="1"/>
      <c r="Y3" s="1"/>
      <c r="Z3" s="1"/>
      <c r="AA3" s="1"/>
      <c r="AB3" s="1"/>
      <c r="AC3" s="1"/>
      <c r="AD3" s="1"/>
      <c r="AE3" s="1"/>
      <c r="AF3" s="1"/>
    </row>
    <row r="4" spans="1:32" ht="48.75" customHeight="1" x14ac:dyDescent="0.2">
      <c r="A4" s="139" t="s">
        <v>158</v>
      </c>
      <c r="B4" s="139"/>
      <c r="C4" s="139"/>
      <c r="D4" s="139"/>
      <c r="E4" s="139"/>
      <c r="F4" s="139"/>
      <c r="G4" s="139"/>
      <c r="H4" s="139"/>
      <c r="I4" s="139"/>
      <c r="J4" s="1"/>
      <c r="K4" s="1"/>
      <c r="L4" s="1"/>
      <c r="M4" s="1"/>
      <c r="N4" s="2"/>
      <c r="O4" s="1"/>
      <c r="P4" s="1"/>
      <c r="Q4" s="1"/>
      <c r="R4" s="1"/>
      <c r="S4" s="1"/>
      <c r="T4" s="1"/>
      <c r="U4" s="1"/>
      <c r="V4" s="1"/>
      <c r="W4" s="1"/>
      <c r="X4" s="1"/>
      <c r="Y4" s="1"/>
      <c r="Z4" s="1"/>
      <c r="AA4" s="1"/>
      <c r="AB4" s="1"/>
      <c r="AC4" s="1"/>
      <c r="AD4" s="1"/>
      <c r="AE4" s="1"/>
      <c r="AF4" s="1"/>
    </row>
    <row r="5" spans="1:32" ht="10.5" customHeight="1" x14ac:dyDescent="0.2">
      <c r="A5" s="99"/>
      <c r="B5" s="99"/>
      <c r="C5" s="99"/>
      <c r="D5" s="99"/>
      <c r="E5" s="99"/>
      <c r="F5" s="99"/>
      <c r="G5" s="99"/>
      <c r="H5" s="99"/>
      <c r="I5" s="99"/>
      <c r="J5" s="1"/>
      <c r="K5" s="1"/>
      <c r="L5" s="1"/>
      <c r="M5" s="1"/>
      <c r="N5" s="2"/>
      <c r="O5" s="1"/>
      <c r="P5" s="1"/>
      <c r="Q5" s="1"/>
      <c r="R5" s="1"/>
      <c r="S5" s="1"/>
      <c r="T5" s="1"/>
      <c r="U5" s="1"/>
      <c r="V5" s="1"/>
      <c r="W5" s="1"/>
      <c r="X5" s="1"/>
      <c r="Y5" s="1"/>
      <c r="Z5" s="1"/>
      <c r="AA5" s="1"/>
      <c r="AB5" s="1"/>
      <c r="AC5" s="1"/>
      <c r="AD5" s="1"/>
      <c r="AE5" s="1"/>
      <c r="AF5" s="1"/>
    </row>
    <row r="6" spans="1:32" ht="15" x14ac:dyDescent="0.2">
      <c r="A6" s="96" t="s">
        <v>5</v>
      </c>
      <c r="B6" s="134"/>
      <c r="C6" s="135"/>
      <c r="D6" s="135"/>
      <c r="E6" s="135"/>
      <c r="F6" s="135"/>
      <c r="G6" s="135"/>
      <c r="H6" s="135"/>
      <c r="I6" s="136"/>
      <c r="J6" s="4"/>
      <c r="K6" s="4"/>
      <c r="L6" s="4"/>
      <c r="M6" s="4"/>
      <c r="N6" s="5"/>
      <c r="O6" s="4"/>
      <c r="P6" s="4"/>
      <c r="Q6" s="4"/>
      <c r="R6" s="4"/>
      <c r="S6" s="4"/>
      <c r="T6" s="4"/>
      <c r="U6" s="4"/>
      <c r="V6" s="4"/>
      <c r="W6" s="4"/>
      <c r="X6" s="4"/>
      <c r="Y6" s="4"/>
      <c r="Z6" s="4"/>
      <c r="AA6" s="4"/>
      <c r="AB6" s="4"/>
      <c r="AC6" s="4"/>
      <c r="AD6" s="4"/>
      <c r="AE6" s="4"/>
      <c r="AF6" s="4"/>
    </row>
    <row r="7" spans="1:32" ht="15" x14ac:dyDescent="0.2">
      <c r="A7" s="96" t="s">
        <v>25</v>
      </c>
      <c r="B7" s="134"/>
      <c r="C7" s="135"/>
      <c r="D7" s="135"/>
      <c r="E7" s="135"/>
      <c r="F7" s="136"/>
      <c r="G7" s="95"/>
      <c r="H7" s="137">
        <f ca="1">TODAY()</f>
        <v>41740</v>
      </c>
      <c r="I7" s="138"/>
      <c r="J7" s="4"/>
      <c r="K7" s="4"/>
      <c r="L7" s="4"/>
      <c r="M7" s="4"/>
      <c r="N7" s="5"/>
      <c r="O7" s="4"/>
      <c r="P7" s="4"/>
      <c r="Q7" s="4"/>
      <c r="R7" s="4"/>
      <c r="S7" s="4"/>
      <c r="T7" s="4"/>
      <c r="U7" s="4"/>
      <c r="V7" s="4"/>
      <c r="W7" s="4"/>
      <c r="X7" s="4"/>
      <c r="Y7" s="4"/>
      <c r="Z7" s="4"/>
      <c r="AA7" s="4"/>
      <c r="AB7" s="4"/>
      <c r="AC7" s="4"/>
      <c r="AD7" s="4"/>
      <c r="AE7" s="4"/>
      <c r="AF7" s="4"/>
    </row>
    <row r="8" spans="1:32" ht="12" customHeight="1" x14ac:dyDescent="0.3">
      <c r="A8" s="133"/>
      <c r="B8" s="133"/>
      <c r="C8" s="133"/>
      <c r="D8" s="133"/>
      <c r="E8" s="133"/>
      <c r="F8" s="133"/>
      <c r="G8" s="133"/>
      <c r="H8" s="133"/>
      <c r="I8" s="3"/>
      <c r="J8" s="1"/>
      <c r="K8" s="1"/>
      <c r="L8" s="1"/>
      <c r="M8" s="1"/>
      <c r="N8" s="2"/>
      <c r="O8" s="1"/>
      <c r="P8" s="1"/>
      <c r="Q8" s="1"/>
      <c r="R8" s="1"/>
      <c r="S8" s="1"/>
      <c r="T8" s="1"/>
      <c r="U8" s="1"/>
      <c r="V8" s="1"/>
      <c r="W8" s="1"/>
      <c r="X8" s="1"/>
      <c r="Y8" s="1"/>
      <c r="Z8" s="1"/>
      <c r="AA8" s="1"/>
      <c r="AB8" s="1"/>
      <c r="AC8" s="1"/>
      <c r="AD8" s="1"/>
      <c r="AE8" s="1"/>
      <c r="AF8" s="1"/>
    </row>
    <row r="9" spans="1:32" ht="15" x14ac:dyDescent="0.25">
      <c r="A9" s="145" t="s">
        <v>51</v>
      </c>
      <c r="B9" s="145"/>
      <c r="C9" s="145"/>
      <c r="D9" s="145"/>
      <c r="E9" s="145"/>
      <c r="F9" s="145"/>
      <c r="G9" s="145"/>
      <c r="H9" s="145"/>
      <c r="I9" s="3"/>
      <c r="J9" s="1"/>
      <c r="K9" s="1"/>
      <c r="L9" s="1"/>
      <c r="M9" s="1"/>
      <c r="N9" s="2"/>
      <c r="O9" s="1"/>
      <c r="P9" s="1"/>
      <c r="Q9" s="1"/>
      <c r="R9" s="1"/>
      <c r="S9" s="1"/>
      <c r="T9" s="1"/>
      <c r="U9" s="1"/>
      <c r="V9" s="1"/>
      <c r="W9" s="1"/>
      <c r="X9" s="1"/>
      <c r="Y9" s="1"/>
      <c r="Z9" s="1"/>
      <c r="AA9" s="1"/>
      <c r="AB9" s="1"/>
      <c r="AC9" s="1"/>
      <c r="AD9" s="1"/>
      <c r="AE9" s="1"/>
      <c r="AF9" s="1"/>
    </row>
    <row r="10" spans="1:32" ht="15" customHeight="1" x14ac:dyDescent="0.25">
      <c r="A10" s="6"/>
      <c r="B10" s="123" t="s">
        <v>148</v>
      </c>
      <c r="C10" s="123" t="s">
        <v>147</v>
      </c>
      <c r="D10" s="6"/>
      <c r="E10" s="6"/>
      <c r="F10" s="6"/>
      <c r="G10" s="6"/>
      <c r="H10" s="6"/>
      <c r="I10" s="3"/>
      <c r="J10" s="1"/>
      <c r="K10" s="1"/>
      <c r="L10" s="1"/>
      <c r="M10" s="1"/>
      <c r="N10" s="2"/>
      <c r="O10" s="1"/>
      <c r="P10" s="1"/>
      <c r="Q10" s="1"/>
      <c r="R10" s="1"/>
      <c r="S10" s="1"/>
      <c r="T10" s="1"/>
      <c r="U10" s="1"/>
      <c r="V10" s="1"/>
      <c r="W10" s="1"/>
      <c r="X10" s="1"/>
      <c r="Y10" s="1"/>
      <c r="Z10" s="1"/>
      <c r="AA10" s="1"/>
      <c r="AB10" s="1"/>
      <c r="AC10" s="1"/>
      <c r="AD10" s="1"/>
      <c r="AE10" s="1"/>
      <c r="AF10" s="1"/>
    </row>
    <row r="11" spans="1:32" x14ac:dyDescent="0.2">
      <c r="A11" s="55" t="s">
        <v>52</v>
      </c>
      <c r="B11" s="1"/>
      <c r="C11" s="1"/>
      <c r="D11" s="7"/>
      <c r="E11" s="7"/>
      <c r="F11" s="7"/>
      <c r="G11" s="7"/>
      <c r="H11" s="7"/>
      <c r="I11" s="1"/>
      <c r="J11" s="1"/>
      <c r="K11" s="1"/>
      <c r="L11" s="1"/>
      <c r="M11" s="1"/>
      <c r="N11" s="2"/>
      <c r="O11" s="1"/>
      <c r="P11" s="1"/>
      <c r="Q11" s="1"/>
      <c r="R11" s="1"/>
      <c r="S11" s="1"/>
      <c r="T11" s="1"/>
      <c r="U11" s="1"/>
      <c r="V11" s="1"/>
      <c r="W11" s="1"/>
      <c r="X11" s="1"/>
      <c r="Y11" s="1"/>
      <c r="Z11" s="1"/>
      <c r="AA11" s="1"/>
      <c r="AB11" s="1"/>
      <c r="AC11" s="1"/>
      <c r="AD11" s="1"/>
      <c r="AE11" s="1"/>
      <c r="AF11" s="1"/>
    </row>
    <row r="12" spans="1:32" x14ac:dyDescent="0.2">
      <c r="A12" s="49" t="s">
        <v>7</v>
      </c>
      <c r="B12" s="113"/>
      <c r="C12" s="113"/>
      <c r="D12" s="7"/>
      <c r="E12" s="7"/>
      <c r="F12" s="7"/>
      <c r="G12" s="7"/>
      <c r="H12" s="7"/>
      <c r="I12" s="1"/>
      <c r="J12" s="1"/>
      <c r="K12" s="1"/>
      <c r="L12" s="1"/>
      <c r="M12" s="1"/>
      <c r="N12" s="2"/>
      <c r="O12" s="1"/>
      <c r="P12" s="1"/>
      <c r="Q12" s="1"/>
      <c r="R12" s="1"/>
      <c r="S12" s="1"/>
      <c r="T12" s="1"/>
      <c r="U12" s="1"/>
      <c r="V12" s="1"/>
      <c r="W12" s="1"/>
      <c r="X12" s="1"/>
      <c r="Y12" s="1"/>
      <c r="Z12" s="1"/>
      <c r="AA12" s="1"/>
      <c r="AB12" s="1"/>
      <c r="AC12" s="1"/>
      <c r="AD12" s="1"/>
      <c r="AE12" s="1"/>
      <c r="AF12" s="1"/>
    </row>
    <row r="13" spans="1:32" x14ac:dyDescent="0.2">
      <c r="A13" s="49" t="s">
        <v>8</v>
      </c>
      <c r="B13" s="113"/>
      <c r="C13" s="113"/>
      <c r="D13" s="7"/>
      <c r="E13" s="7"/>
      <c r="F13" s="7"/>
      <c r="G13" s="7"/>
      <c r="H13" s="7"/>
      <c r="I13" s="1"/>
      <c r="J13" s="1"/>
      <c r="K13" s="1"/>
      <c r="L13" s="1"/>
      <c r="M13" s="1"/>
      <c r="N13" s="2"/>
      <c r="O13" s="1"/>
      <c r="P13" s="1"/>
      <c r="Q13" s="1"/>
      <c r="R13" s="1"/>
      <c r="S13" s="1"/>
      <c r="T13" s="1"/>
      <c r="U13" s="1"/>
      <c r="V13" s="1"/>
      <c r="W13" s="1"/>
      <c r="X13" s="1"/>
      <c r="Y13" s="1"/>
      <c r="Z13" s="1"/>
      <c r="AA13" s="1"/>
      <c r="AB13" s="1"/>
      <c r="AC13" s="1"/>
      <c r="AD13" s="1"/>
      <c r="AE13" s="1"/>
      <c r="AF13" s="1"/>
    </row>
    <row r="14" spans="1:32" x14ac:dyDescent="0.2">
      <c r="A14" s="49" t="s">
        <v>9</v>
      </c>
      <c r="B14" s="113"/>
      <c r="C14" s="113"/>
      <c r="D14" s="7"/>
      <c r="E14" s="7"/>
      <c r="F14" s="7"/>
      <c r="G14" s="7"/>
      <c r="H14" s="7"/>
      <c r="I14" s="1"/>
      <c r="J14" s="1"/>
      <c r="K14" s="1"/>
      <c r="L14" s="1"/>
      <c r="M14" s="1"/>
      <c r="N14" s="2"/>
      <c r="O14" s="1"/>
      <c r="P14" s="1"/>
      <c r="Q14" s="1"/>
      <c r="R14" s="1"/>
      <c r="S14" s="1"/>
      <c r="T14" s="1"/>
      <c r="U14" s="1"/>
      <c r="V14" s="1"/>
      <c r="W14" s="1"/>
      <c r="X14" s="1"/>
      <c r="Y14" s="1"/>
      <c r="Z14" s="1"/>
      <c r="AA14" s="1"/>
      <c r="AB14" s="1"/>
      <c r="AC14" s="1"/>
      <c r="AD14" s="1"/>
      <c r="AE14" s="1"/>
      <c r="AF14" s="1"/>
    </row>
    <row r="15" spans="1:32" x14ac:dyDescent="0.2">
      <c r="A15" s="49" t="s">
        <v>0</v>
      </c>
      <c r="B15" s="113"/>
      <c r="C15" s="113"/>
      <c r="D15" s="7"/>
      <c r="E15" s="7"/>
      <c r="F15" s="7"/>
      <c r="G15" s="7"/>
      <c r="H15" s="7"/>
      <c r="I15" s="1"/>
      <c r="J15" s="1"/>
      <c r="K15" s="1"/>
      <c r="L15" s="1"/>
      <c r="M15" s="1"/>
      <c r="N15" s="2"/>
      <c r="O15" s="1"/>
      <c r="P15" s="1"/>
      <c r="Q15" s="58" t="s">
        <v>16</v>
      </c>
      <c r="R15" s="59"/>
      <c r="S15" s="1"/>
      <c r="T15" s="1"/>
      <c r="U15" s="58" t="s">
        <v>23</v>
      </c>
      <c r="V15" s="59"/>
      <c r="W15" s="1"/>
      <c r="X15" s="1"/>
      <c r="Y15" s="1"/>
      <c r="Z15" s="1"/>
      <c r="AA15" s="1"/>
      <c r="AB15" s="1"/>
      <c r="AC15" s="58" t="s">
        <v>61</v>
      </c>
      <c r="AD15" s="65"/>
      <c r="AE15" s="59"/>
      <c r="AF15" s="1"/>
    </row>
    <row r="16" spans="1:32" x14ac:dyDescent="0.2">
      <c r="A16" s="49" t="s">
        <v>10</v>
      </c>
      <c r="B16" s="113"/>
      <c r="C16" s="113"/>
      <c r="D16" s="7"/>
      <c r="E16" s="7"/>
      <c r="F16" s="7"/>
      <c r="G16" s="7"/>
      <c r="H16" s="7"/>
      <c r="I16" s="1"/>
      <c r="J16" s="1"/>
      <c r="K16" s="1"/>
      <c r="L16" s="1"/>
      <c r="M16" s="1"/>
      <c r="N16" s="2"/>
      <c r="O16" s="1"/>
      <c r="P16" s="1"/>
      <c r="Q16" s="60" t="s">
        <v>21</v>
      </c>
      <c r="R16" s="61" t="s">
        <v>22</v>
      </c>
      <c r="S16" s="8"/>
      <c r="T16" s="8"/>
      <c r="U16" s="60" t="s">
        <v>21</v>
      </c>
      <c r="V16" s="61" t="s">
        <v>22</v>
      </c>
      <c r="W16" s="1"/>
      <c r="X16" s="1"/>
      <c r="Y16" s="1"/>
      <c r="Z16" s="1"/>
      <c r="AA16" s="1"/>
      <c r="AB16" s="1"/>
      <c r="AC16" s="60" t="s">
        <v>21</v>
      </c>
      <c r="AD16" s="66" t="s">
        <v>22</v>
      </c>
      <c r="AE16" s="61"/>
      <c r="AF16" s="8"/>
    </row>
    <row r="17" spans="1:32" x14ac:dyDescent="0.2">
      <c r="A17" s="49" t="s">
        <v>11</v>
      </c>
      <c r="B17" s="113"/>
      <c r="C17" s="113"/>
      <c r="D17" s="7"/>
      <c r="E17" s="7"/>
      <c r="F17" s="7"/>
      <c r="G17" s="7"/>
      <c r="H17" s="7"/>
      <c r="I17" s="1"/>
      <c r="J17" s="1"/>
      <c r="K17" s="1"/>
      <c r="L17" s="1"/>
      <c r="M17" s="1"/>
      <c r="N17" s="2"/>
      <c r="O17" s="1"/>
      <c r="P17" s="1"/>
      <c r="Q17" s="62"/>
      <c r="R17" s="63"/>
      <c r="S17" s="1"/>
      <c r="T17" s="1"/>
      <c r="U17" s="62"/>
      <c r="V17" s="63"/>
      <c r="W17" s="1"/>
      <c r="X17" s="1"/>
      <c r="Y17" s="1"/>
      <c r="Z17" s="1"/>
      <c r="AA17" s="1"/>
      <c r="AB17" s="1"/>
      <c r="AC17" s="62"/>
      <c r="AD17" s="37"/>
      <c r="AE17" s="63"/>
      <c r="AF17" s="1"/>
    </row>
    <row r="18" spans="1:32" x14ac:dyDescent="0.2">
      <c r="A18" s="49" t="s">
        <v>12</v>
      </c>
      <c r="B18" s="113"/>
      <c r="C18" s="113"/>
      <c r="D18" s="8"/>
      <c r="E18" s="8"/>
      <c r="F18" s="8"/>
      <c r="G18" s="8"/>
      <c r="H18" s="9"/>
      <c r="I18" s="1"/>
      <c r="J18" s="1"/>
      <c r="K18" s="1"/>
      <c r="L18" s="1"/>
      <c r="M18" s="1"/>
      <c r="N18" s="2"/>
      <c r="O18" s="1"/>
      <c r="P18" s="1"/>
      <c r="Q18" s="68">
        <f>$B$12</f>
        <v>0</v>
      </c>
      <c r="R18" s="70">
        <f>$C$52</f>
        <v>0</v>
      </c>
      <c r="S18" s="8"/>
      <c r="T18" s="8"/>
      <c r="U18" s="68">
        <f>$B$12</f>
        <v>0</v>
      </c>
      <c r="V18" s="70">
        <f>$H$42</f>
        <v>0</v>
      </c>
      <c r="W18" s="1"/>
      <c r="X18" s="1"/>
      <c r="Y18" s="1"/>
      <c r="Z18" s="1"/>
      <c r="AA18" s="1"/>
      <c r="AB18" s="1"/>
      <c r="AC18" s="72">
        <f>$B$13</f>
        <v>0</v>
      </c>
      <c r="AD18" s="73">
        <f>$C$13</f>
        <v>0</v>
      </c>
      <c r="AE18" s="63"/>
      <c r="AF18" s="1"/>
    </row>
    <row r="19" spans="1:32" x14ac:dyDescent="0.2">
      <c r="A19" s="49"/>
      <c r="B19" s="53"/>
      <c r="C19" s="53"/>
      <c r="D19" s="8"/>
      <c r="E19" s="8"/>
      <c r="F19" s="8"/>
      <c r="G19" s="8"/>
      <c r="H19" s="9"/>
      <c r="I19" s="1"/>
      <c r="J19" s="1"/>
      <c r="K19" s="1"/>
      <c r="L19" s="1"/>
      <c r="M19" s="1"/>
      <c r="N19" s="2"/>
      <c r="O19" s="1"/>
      <c r="P19" s="1"/>
      <c r="Q19" s="69">
        <f>$B$18</f>
        <v>0</v>
      </c>
      <c r="R19" s="71">
        <f>$C$52</f>
        <v>0</v>
      </c>
      <c r="S19" s="8"/>
      <c r="T19" s="8"/>
      <c r="U19" s="69">
        <f>$B$18</f>
        <v>0</v>
      </c>
      <c r="V19" s="71">
        <f>$H$42</f>
        <v>0</v>
      </c>
      <c r="W19" s="1"/>
      <c r="X19" s="1"/>
      <c r="Y19" s="1"/>
      <c r="Z19" s="1"/>
      <c r="AA19" s="1"/>
      <c r="AB19" s="1"/>
      <c r="AC19" s="72">
        <f>$B$13</f>
        <v>0</v>
      </c>
      <c r="AD19" s="73">
        <f>IF($H$42&gt;=$C$13,$H$42,$C$13)</f>
        <v>0</v>
      </c>
      <c r="AE19" s="63"/>
      <c r="AF19" s="1"/>
    </row>
    <row r="20" spans="1:32" x14ac:dyDescent="0.2">
      <c r="A20" s="55" t="s">
        <v>53</v>
      </c>
      <c r="B20" s="53"/>
      <c r="C20" s="53"/>
      <c r="D20" s="8"/>
      <c r="E20" s="8"/>
      <c r="F20" s="8"/>
      <c r="G20" s="8"/>
      <c r="H20" s="9"/>
      <c r="I20" s="1"/>
      <c r="J20" s="1"/>
      <c r="K20" s="1"/>
      <c r="L20" s="1"/>
      <c r="M20" s="1"/>
      <c r="N20" s="2"/>
      <c r="O20" s="1"/>
      <c r="P20" s="1"/>
      <c r="Q20" s="1"/>
      <c r="R20" s="1"/>
      <c r="S20" s="1"/>
      <c r="T20" s="1"/>
      <c r="U20" s="1"/>
      <c r="V20" s="1"/>
      <c r="W20" s="1"/>
      <c r="X20" s="1"/>
      <c r="Y20" s="1"/>
      <c r="Z20" s="1"/>
      <c r="AA20" s="1"/>
      <c r="AB20" s="1"/>
      <c r="AC20" s="72"/>
      <c r="AD20" s="73"/>
      <c r="AE20" s="63"/>
      <c r="AF20" s="1"/>
    </row>
    <row r="21" spans="1:32" x14ac:dyDescent="0.2">
      <c r="A21" s="49" t="s">
        <v>83</v>
      </c>
      <c r="B21" s="51"/>
      <c r="C21" s="51"/>
      <c r="D21" s="8"/>
      <c r="E21" s="8"/>
      <c r="F21" s="8"/>
      <c r="G21" s="8"/>
      <c r="H21" s="9"/>
      <c r="I21" s="1"/>
      <c r="J21" s="1"/>
      <c r="K21" s="1"/>
      <c r="L21" s="1"/>
      <c r="M21" s="1"/>
      <c r="N21" s="2"/>
      <c r="O21" s="1"/>
      <c r="P21" s="1"/>
      <c r="Q21" s="1"/>
      <c r="R21" s="1"/>
      <c r="S21" s="1"/>
      <c r="T21" s="1"/>
      <c r="U21" s="1"/>
      <c r="V21" s="1"/>
      <c r="W21" s="1"/>
      <c r="X21" s="1"/>
      <c r="Y21" s="1"/>
      <c r="Z21" s="1"/>
      <c r="AA21" s="1"/>
      <c r="AB21" s="1"/>
      <c r="AC21" s="72">
        <f>$B$17</f>
        <v>0</v>
      </c>
      <c r="AD21" s="73">
        <f>$C$17</f>
        <v>0</v>
      </c>
      <c r="AE21" s="63"/>
      <c r="AF21" s="1"/>
    </row>
    <row r="22" spans="1:32" x14ac:dyDescent="0.2">
      <c r="A22" s="49" t="s">
        <v>84</v>
      </c>
      <c r="B22" s="51"/>
      <c r="C22" s="51"/>
      <c r="D22" s="8"/>
      <c r="E22" s="8"/>
      <c r="F22" s="8"/>
      <c r="G22" s="8"/>
      <c r="H22" s="9"/>
      <c r="I22" s="1"/>
      <c r="J22" s="1"/>
      <c r="K22" s="1"/>
      <c r="L22" s="1"/>
      <c r="M22" s="1"/>
      <c r="N22" s="2"/>
      <c r="O22" s="1"/>
      <c r="P22" s="1"/>
      <c r="Q22" s="1"/>
      <c r="R22" s="1"/>
      <c r="S22" s="1"/>
      <c r="T22" s="1"/>
      <c r="U22" s="1"/>
      <c r="V22" s="1"/>
      <c r="W22" s="1"/>
      <c r="X22" s="1"/>
      <c r="Y22" s="1"/>
      <c r="Z22" s="1"/>
      <c r="AA22" s="1"/>
      <c r="AB22" s="1"/>
      <c r="AC22" s="74">
        <f>$B$17</f>
        <v>0</v>
      </c>
      <c r="AD22" s="75">
        <f>IF($H$42&gt;=$C$17,$H$42,$C$17)</f>
        <v>0</v>
      </c>
      <c r="AE22" s="67"/>
      <c r="AF22" s="1"/>
    </row>
    <row r="23" spans="1:32" x14ac:dyDescent="0.2">
      <c r="A23" s="49" t="s">
        <v>101</v>
      </c>
      <c r="B23" s="49"/>
      <c r="C23" s="94" t="str">
        <f>IF($B$22="","",ABS(($C$21-$C$22)/($B$22-$B$21)))</f>
        <v/>
      </c>
      <c r="D23" s="7"/>
      <c r="E23" s="7"/>
      <c r="F23" s="7"/>
      <c r="G23" s="7"/>
      <c r="H23" s="7"/>
      <c r="I23" s="1"/>
      <c r="J23" s="1"/>
      <c r="K23" s="1"/>
      <c r="L23" s="1"/>
      <c r="M23" s="1"/>
      <c r="N23" s="2"/>
      <c r="O23" s="1"/>
      <c r="P23" s="1"/>
      <c r="Q23" s="1"/>
      <c r="R23" s="1"/>
      <c r="S23" s="1"/>
      <c r="T23" s="1"/>
      <c r="U23" s="1"/>
      <c r="V23" s="1"/>
      <c r="W23" s="1"/>
      <c r="X23" s="1"/>
      <c r="Y23" s="1"/>
      <c r="Z23" s="1"/>
      <c r="AA23" s="1"/>
      <c r="AB23" s="1"/>
      <c r="AC23" s="1"/>
      <c r="AD23" s="1"/>
      <c r="AE23" s="1"/>
      <c r="AF23" s="1"/>
    </row>
    <row r="24" spans="1:32" x14ac:dyDescent="0.2">
      <c r="A24" s="54"/>
      <c r="B24" s="1"/>
      <c r="C24" s="1"/>
      <c r="D24" s="11"/>
      <c r="E24" s="11"/>
      <c r="F24" s="11"/>
      <c r="G24" s="11"/>
      <c r="H24" s="11"/>
      <c r="I24" s="1"/>
      <c r="J24" s="1"/>
      <c r="K24" s="1"/>
      <c r="L24" s="1"/>
      <c r="M24" s="1"/>
      <c r="N24" s="2"/>
      <c r="O24" s="1"/>
      <c r="P24" s="1"/>
      <c r="Q24" s="1" t="s">
        <v>123</v>
      </c>
      <c r="R24" s="1"/>
      <c r="S24" s="1"/>
      <c r="T24" s="1"/>
      <c r="U24" s="1"/>
      <c r="V24" s="1"/>
      <c r="W24" s="1"/>
      <c r="X24" s="1"/>
      <c r="Y24" s="1"/>
      <c r="Z24" s="1"/>
      <c r="AA24" s="1"/>
      <c r="AB24" s="1"/>
      <c r="AC24" s="1"/>
      <c r="AD24" s="1"/>
      <c r="AE24" s="1"/>
      <c r="AF24" s="1"/>
    </row>
    <row r="25" spans="1:32" x14ac:dyDescent="0.2">
      <c r="B25" s="1"/>
      <c r="C25" s="1"/>
      <c r="D25" s="11"/>
      <c r="E25" s="11"/>
      <c r="F25" s="11"/>
      <c r="G25" s="11"/>
      <c r="H25" s="11"/>
      <c r="I25" s="1"/>
      <c r="J25" s="1"/>
      <c r="K25" s="1"/>
      <c r="L25" s="1"/>
      <c r="M25" s="1"/>
      <c r="N25" s="2"/>
      <c r="O25" s="1"/>
      <c r="P25" s="1"/>
      <c r="R25" s="1"/>
      <c r="S25" s="1"/>
      <c r="T25" s="1"/>
      <c r="U25" s="1"/>
      <c r="V25" s="1"/>
      <c r="W25" s="1"/>
      <c r="X25" s="1"/>
      <c r="Y25" s="1"/>
      <c r="Z25" s="1"/>
      <c r="AA25" s="1"/>
      <c r="AB25" s="1"/>
      <c r="AC25" s="1"/>
      <c r="AD25" s="1"/>
      <c r="AE25" s="1"/>
      <c r="AF25" s="1"/>
    </row>
    <row r="26" spans="1:32" x14ac:dyDescent="0.2">
      <c r="A26" s="91" t="s">
        <v>149</v>
      </c>
      <c r="B26" s="1"/>
      <c r="C26" s="1"/>
      <c r="D26" s="11"/>
      <c r="E26" s="11"/>
      <c r="F26" s="11"/>
      <c r="G26" s="11"/>
      <c r="H26" s="11"/>
      <c r="I26" s="1"/>
      <c r="J26" s="1"/>
      <c r="K26" s="1"/>
      <c r="L26" s="1"/>
      <c r="M26" s="1"/>
      <c r="N26" s="2"/>
      <c r="O26" s="1"/>
      <c r="P26" s="1"/>
      <c r="Q26" s="76" t="s">
        <v>27</v>
      </c>
      <c r="R26" s="76">
        <v>0</v>
      </c>
      <c r="S26" s="1"/>
      <c r="T26" s="1"/>
      <c r="U26" s="1"/>
      <c r="V26" s="1"/>
      <c r="W26" s="1"/>
      <c r="X26" s="1"/>
      <c r="Y26" s="1"/>
      <c r="Z26" s="1"/>
      <c r="AA26" s="1"/>
      <c r="AB26" s="1"/>
      <c r="AC26" s="1"/>
      <c r="AD26" s="1"/>
      <c r="AE26" s="1"/>
      <c r="AF26" s="1"/>
    </row>
    <row r="27" spans="1:32" x14ac:dyDescent="0.2">
      <c r="A27" s="91" t="s">
        <v>150</v>
      </c>
      <c r="B27" s="1"/>
      <c r="C27" s="1"/>
      <c r="D27" s="11"/>
      <c r="E27" s="11"/>
      <c r="F27" s="11"/>
      <c r="G27" s="11"/>
      <c r="H27" s="11"/>
      <c r="I27" s="1"/>
      <c r="J27" s="1"/>
      <c r="K27" s="1"/>
      <c r="L27" s="1"/>
      <c r="M27" s="1"/>
      <c r="N27" s="2"/>
      <c r="O27" s="1"/>
      <c r="P27" s="1"/>
      <c r="Q27" s="76" t="s">
        <v>28</v>
      </c>
      <c r="R27" s="76">
        <v>0.15</v>
      </c>
      <c r="S27" s="1"/>
      <c r="T27" s="1"/>
      <c r="U27" s="1"/>
      <c r="V27" s="1"/>
      <c r="W27" s="1"/>
      <c r="X27" s="1"/>
      <c r="Y27" s="1"/>
      <c r="Z27" s="1"/>
      <c r="AA27" s="1"/>
      <c r="AB27" s="1"/>
      <c r="AC27" s="1"/>
      <c r="AD27" s="1"/>
      <c r="AE27" s="1"/>
      <c r="AF27" s="1"/>
    </row>
    <row r="28" spans="1:32" x14ac:dyDescent="0.2">
      <c r="A28" s="91"/>
      <c r="B28" s="1"/>
      <c r="C28" s="1"/>
      <c r="D28" s="11"/>
      <c r="E28" s="11"/>
      <c r="F28" s="11"/>
      <c r="G28" s="11"/>
      <c r="H28" s="11"/>
      <c r="I28" s="1"/>
      <c r="J28" s="1"/>
      <c r="K28" s="1"/>
      <c r="L28" s="1"/>
      <c r="M28" s="1"/>
      <c r="N28" s="2"/>
      <c r="O28" s="1"/>
      <c r="P28" s="1"/>
      <c r="Q28" s="76" t="s">
        <v>29</v>
      </c>
      <c r="R28" s="76">
        <v>0.3</v>
      </c>
      <c r="S28" s="1"/>
      <c r="T28" s="1"/>
      <c r="U28" s="1"/>
      <c r="V28" s="1"/>
      <c r="W28" s="1"/>
      <c r="X28" s="1"/>
      <c r="Y28" s="1"/>
      <c r="Z28" s="1"/>
      <c r="AA28" s="1"/>
      <c r="AB28" s="1"/>
      <c r="AC28" s="1"/>
      <c r="AD28" s="1"/>
      <c r="AE28" s="1"/>
      <c r="AF28" s="1"/>
    </row>
    <row r="29" spans="1:32" x14ac:dyDescent="0.2">
      <c r="A29" s="91"/>
      <c r="B29" s="1"/>
      <c r="C29" s="1"/>
      <c r="D29" s="11"/>
      <c r="E29" s="11"/>
      <c r="F29" s="11"/>
      <c r="G29" s="11"/>
      <c r="H29" s="11"/>
      <c r="I29" s="1"/>
      <c r="J29" s="1"/>
      <c r="K29" s="1"/>
      <c r="L29" s="1"/>
      <c r="M29" s="1"/>
      <c r="N29" s="2"/>
      <c r="O29" s="1"/>
      <c r="P29" s="1"/>
      <c r="Q29" s="76"/>
      <c r="R29" s="76"/>
      <c r="S29" s="1"/>
      <c r="T29" s="1"/>
      <c r="U29" s="1"/>
      <c r="V29" s="1"/>
      <c r="W29" s="1"/>
      <c r="X29" s="1"/>
      <c r="Y29" s="1"/>
      <c r="Z29" s="1"/>
      <c r="AA29" s="1"/>
      <c r="AB29" s="1"/>
      <c r="AC29" s="1"/>
      <c r="AD29" s="1"/>
      <c r="AE29" s="1"/>
      <c r="AF29" s="1"/>
    </row>
    <row r="30" spans="1:32" x14ac:dyDescent="0.2">
      <c r="A30" s="91"/>
      <c r="B30" s="1"/>
      <c r="C30" s="1"/>
      <c r="D30" s="11"/>
      <c r="E30" s="11"/>
      <c r="F30" s="11"/>
      <c r="G30" s="11"/>
      <c r="H30" s="11"/>
      <c r="I30" s="1"/>
      <c r="J30" s="1"/>
      <c r="K30" s="1"/>
      <c r="L30" s="1"/>
      <c r="M30" s="1"/>
      <c r="N30" s="2"/>
      <c r="O30" s="1"/>
      <c r="P30" s="1"/>
      <c r="Q30" s="76"/>
      <c r="R30" s="76"/>
      <c r="S30" s="1"/>
      <c r="T30" s="1"/>
      <c r="U30" s="1"/>
      <c r="V30" s="1"/>
      <c r="W30" s="1"/>
      <c r="X30" s="1"/>
      <c r="Y30" s="1"/>
      <c r="Z30" s="1"/>
      <c r="AA30" s="1"/>
      <c r="AB30" s="1"/>
      <c r="AC30" s="1"/>
      <c r="AD30" s="1"/>
      <c r="AE30" s="1"/>
      <c r="AF30" s="1"/>
    </row>
    <row r="31" spans="1:32" x14ac:dyDescent="0.2">
      <c r="A31" s="91"/>
      <c r="B31" s="1"/>
      <c r="C31" s="1"/>
      <c r="D31" s="11"/>
      <c r="E31" s="11"/>
      <c r="F31" s="11"/>
      <c r="G31" s="11"/>
      <c r="H31" s="11"/>
      <c r="I31" s="1"/>
      <c r="J31" s="1"/>
      <c r="K31" s="1"/>
      <c r="L31" s="1"/>
      <c r="M31" s="1"/>
      <c r="N31" s="2"/>
      <c r="O31" s="1"/>
      <c r="P31" s="1"/>
      <c r="Q31" s="76"/>
      <c r="R31" s="76"/>
      <c r="S31" s="1"/>
      <c r="T31" s="1"/>
      <c r="U31" s="1"/>
      <c r="V31" s="1"/>
      <c r="W31" s="1"/>
      <c r="X31" s="1"/>
      <c r="Y31" s="1"/>
      <c r="Z31" s="1"/>
      <c r="AA31" s="1"/>
      <c r="AB31" s="1"/>
      <c r="AC31" s="1"/>
      <c r="AD31" s="1"/>
      <c r="AE31" s="1"/>
      <c r="AF31" s="1"/>
    </row>
    <row r="32" spans="1:32" ht="13.5" customHeight="1" x14ac:dyDescent="0.2">
      <c r="A32" s="13"/>
      <c r="B32" s="1"/>
      <c r="C32" s="1"/>
      <c r="D32" s="11"/>
      <c r="E32" s="11"/>
      <c r="F32" s="11"/>
      <c r="G32" s="11"/>
      <c r="H32" s="11"/>
      <c r="I32" s="1"/>
      <c r="J32" s="1"/>
      <c r="K32" s="1"/>
      <c r="L32" s="1"/>
      <c r="M32" s="1"/>
      <c r="N32" s="2"/>
      <c r="O32" s="1"/>
      <c r="P32" s="1"/>
      <c r="S32" s="1"/>
      <c r="T32" s="1"/>
      <c r="U32" s="1"/>
      <c r="V32" s="1"/>
      <c r="W32" s="1"/>
      <c r="X32" s="1"/>
      <c r="Y32" s="1"/>
      <c r="Z32" s="1"/>
      <c r="AA32" s="1"/>
      <c r="AB32" s="1"/>
      <c r="AC32" s="1"/>
      <c r="AD32" s="1"/>
      <c r="AE32" s="1"/>
      <c r="AF32" s="1"/>
    </row>
    <row r="33" spans="1:32" ht="13.5" customHeight="1" x14ac:dyDescent="0.25">
      <c r="A33" s="87" t="s">
        <v>93</v>
      </c>
      <c r="B33" s="14"/>
      <c r="C33" s="14"/>
      <c r="D33" s="11"/>
      <c r="E33" s="11"/>
      <c r="F33" s="11"/>
      <c r="G33" s="11"/>
      <c r="H33" s="11"/>
      <c r="I33" s="1"/>
      <c r="J33" s="1"/>
      <c r="K33" s="1"/>
      <c r="L33" s="1"/>
      <c r="M33" s="1"/>
      <c r="N33" s="2"/>
      <c r="O33" s="1"/>
      <c r="P33" s="1"/>
      <c r="Q33" s="76"/>
      <c r="R33" s="76"/>
      <c r="S33" s="1"/>
      <c r="T33" s="1"/>
      <c r="U33" s="1"/>
      <c r="V33" s="1"/>
      <c r="W33" s="1"/>
      <c r="X33" s="1"/>
      <c r="Y33" s="1"/>
      <c r="Z33" s="1"/>
      <c r="AA33" s="1"/>
      <c r="AB33" s="1"/>
      <c r="AC33" s="1"/>
      <c r="AD33" s="1"/>
      <c r="AE33" s="1"/>
      <c r="AF33" s="1"/>
    </row>
    <row r="34" spans="1:32" ht="10.5" customHeight="1" x14ac:dyDescent="0.2">
      <c r="A34" s="92" t="s">
        <v>49</v>
      </c>
      <c r="B34" s="14"/>
      <c r="C34" s="14"/>
      <c r="D34" s="1"/>
      <c r="E34" s="11"/>
      <c r="F34" s="11"/>
      <c r="G34" s="11"/>
      <c r="H34" s="11"/>
      <c r="I34" s="1"/>
      <c r="J34" s="1"/>
      <c r="K34" s="1"/>
      <c r="L34" s="1"/>
      <c r="M34" s="1"/>
      <c r="N34" s="2"/>
      <c r="O34" s="1"/>
      <c r="P34" s="1"/>
      <c r="S34" s="1"/>
      <c r="T34" s="1"/>
      <c r="U34" s="1"/>
      <c r="V34" s="1"/>
      <c r="W34" s="1"/>
      <c r="X34" s="1"/>
      <c r="Y34" s="1"/>
      <c r="Z34" s="1"/>
      <c r="AA34" s="1"/>
      <c r="AB34" s="1"/>
      <c r="AC34" s="1"/>
      <c r="AD34" s="1"/>
      <c r="AE34" s="1"/>
      <c r="AF34" s="1"/>
    </row>
    <row r="35" spans="1:32" ht="15.75" x14ac:dyDescent="0.25">
      <c r="A35" s="17"/>
      <c r="B35" s="18"/>
      <c r="C35" s="18"/>
      <c r="D35" s="11"/>
      <c r="E35" s="11"/>
      <c r="F35" s="84" t="s">
        <v>94</v>
      </c>
      <c r="G35" s="85"/>
      <c r="H35" s="85"/>
      <c r="I35" s="86"/>
      <c r="J35" s="85"/>
      <c r="N35" s="2"/>
      <c r="O35" s="1"/>
      <c r="P35" s="1"/>
      <c r="Q35" s="1"/>
      <c r="R35" s="1"/>
      <c r="S35" s="1"/>
      <c r="T35" s="1"/>
      <c r="U35" s="1"/>
      <c r="V35" s="1"/>
      <c r="W35" s="1"/>
      <c r="X35" s="1"/>
      <c r="Y35" s="1"/>
      <c r="Z35" s="1"/>
      <c r="AA35" s="1"/>
      <c r="AB35" s="1"/>
      <c r="AC35" s="1"/>
      <c r="AD35" s="1"/>
      <c r="AE35" s="1"/>
      <c r="AF35" s="1"/>
    </row>
    <row r="36" spans="1:32" x14ac:dyDescent="0.2">
      <c r="A36" s="46" t="s">
        <v>30</v>
      </c>
      <c r="B36" s="46" t="s">
        <v>37</v>
      </c>
      <c r="C36" s="47"/>
      <c r="D36" s="11"/>
      <c r="E36" s="11"/>
      <c r="F36" s="54" t="s">
        <v>154</v>
      </c>
      <c r="G36" s="1"/>
      <c r="H36" s="1"/>
      <c r="I36" s="16"/>
      <c r="J36" s="1"/>
      <c r="N36" s="2"/>
      <c r="O36" s="1"/>
      <c r="P36" s="1"/>
      <c r="Q36" s="12"/>
      <c r="R36" s="12"/>
      <c r="S36" s="1"/>
      <c r="T36" s="1"/>
      <c r="U36" s="1"/>
      <c r="V36" s="1"/>
      <c r="W36" s="1"/>
      <c r="X36" s="1"/>
      <c r="Y36" s="1"/>
      <c r="Z36" s="1"/>
      <c r="AA36" s="1"/>
      <c r="AB36" s="1"/>
      <c r="AC36" s="1"/>
      <c r="AD36" s="1"/>
      <c r="AE36" s="1"/>
      <c r="AF36" s="1"/>
    </row>
    <row r="37" spans="1:32" ht="13.5" customHeight="1" x14ac:dyDescent="0.2">
      <c r="A37" s="46" t="s">
        <v>31</v>
      </c>
      <c r="B37" s="46" t="s">
        <v>38</v>
      </c>
      <c r="C37" s="47"/>
      <c r="D37" s="11"/>
      <c r="E37" s="11"/>
      <c r="F37" s="54"/>
      <c r="G37" s="110"/>
      <c r="H37" s="110"/>
      <c r="I37" s="111"/>
      <c r="J37" s="110"/>
      <c r="K37" s="112"/>
      <c r="N37" s="2"/>
      <c r="O37" s="1"/>
      <c r="P37" s="1"/>
      <c r="Q37" s="1"/>
      <c r="R37" s="1"/>
      <c r="S37" s="1"/>
      <c r="T37" s="1"/>
      <c r="U37" s="1"/>
      <c r="V37" s="1"/>
      <c r="W37" s="8"/>
      <c r="X37" s="8"/>
      <c r="Y37" s="8"/>
      <c r="Z37" s="8"/>
      <c r="AA37" s="8"/>
      <c r="AB37" s="1"/>
      <c r="AC37" s="1"/>
      <c r="AD37" s="1"/>
      <c r="AE37" s="1"/>
      <c r="AF37" s="1"/>
    </row>
    <row r="38" spans="1:32" x14ac:dyDescent="0.2">
      <c r="A38" s="46" t="s">
        <v>32</v>
      </c>
      <c r="B38" s="46" t="s">
        <v>39</v>
      </c>
      <c r="C38" s="47"/>
      <c r="D38" s="20"/>
      <c r="E38" s="20"/>
      <c r="F38" s="38" t="s">
        <v>91</v>
      </c>
      <c r="G38" s="102"/>
      <c r="H38" s="100" t="s">
        <v>18</v>
      </c>
      <c r="I38" s="22"/>
      <c r="J38" s="1"/>
      <c r="N38" s="2"/>
      <c r="O38" s="1"/>
      <c r="P38" s="1"/>
      <c r="Q38" s="52" t="s">
        <v>79</v>
      </c>
      <c r="R38" s="52"/>
      <c r="S38" s="52"/>
      <c r="T38" s="52"/>
      <c r="U38" s="52"/>
      <c r="V38" s="52"/>
      <c r="W38" s="52"/>
      <c r="X38" s="52"/>
      <c r="Y38" s="52"/>
      <c r="Z38" s="52"/>
      <c r="AA38" s="52"/>
      <c r="AB38" s="52"/>
      <c r="AC38" s="52"/>
      <c r="AD38" s="52"/>
      <c r="AE38" s="52"/>
      <c r="AF38" s="1"/>
    </row>
    <row r="39" spans="1:32" x14ac:dyDescent="0.2">
      <c r="A39" s="46" t="s">
        <v>33</v>
      </c>
      <c r="B39" s="46" t="s">
        <v>40</v>
      </c>
      <c r="C39" s="47"/>
      <c r="D39" s="20"/>
      <c r="E39" s="20"/>
      <c r="F39" s="38" t="s">
        <v>109</v>
      </c>
      <c r="G39" s="102"/>
      <c r="H39" s="100" t="s">
        <v>126</v>
      </c>
      <c r="I39" s="22"/>
      <c r="J39" s="1"/>
      <c r="N39" s="2"/>
      <c r="O39" s="1"/>
      <c r="P39" s="1"/>
      <c r="Q39" s="141" t="s">
        <v>80</v>
      </c>
      <c r="R39" s="141"/>
      <c r="S39" s="141"/>
      <c r="T39" s="141"/>
      <c r="U39" s="141"/>
      <c r="V39" s="141"/>
      <c r="W39" s="141"/>
      <c r="X39" s="141"/>
      <c r="Y39" s="141"/>
      <c r="Z39" s="141"/>
      <c r="AA39" s="141"/>
      <c r="AB39" s="141"/>
      <c r="AC39" s="141"/>
      <c r="AD39" s="141"/>
      <c r="AE39" s="141"/>
      <c r="AF39" s="1"/>
    </row>
    <row r="40" spans="1:32" x14ac:dyDescent="0.2">
      <c r="A40" s="46" t="s">
        <v>34</v>
      </c>
      <c r="B40" s="46" t="s">
        <v>41</v>
      </c>
      <c r="C40" s="47"/>
      <c r="D40" s="20"/>
      <c r="E40" s="20"/>
      <c r="F40" s="46" t="s">
        <v>44</v>
      </c>
      <c r="G40" s="143"/>
      <c r="H40" s="144"/>
      <c r="I40" s="25"/>
      <c r="J40" s="1"/>
      <c r="N40" s="2"/>
      <c r="O40" s="1"/>
      <c r="P40" s="1"/>
      <c r="Q40" t="s">
        <v>81</v>
      </c>
      <c r="AF40" s="1"/>
    </row>
    <row r="41" spans="1:32" x14ac:dyDescent="0.2">
      <c r="A41" s="46" t="s">
        <v>45</v>
      </c>
      <c r="B41" s="46" t="s">
        <v>42</v>
      </c>
      <c r="C41" s="81">
        <f>SUM(C36:C40)</f>
        <v>0</v>
      </c>
      <c r="D41" s="20"/>
      <c r="E41" s="20"/>
      <c r="I41" s="25"/>
      <c r="J41" s="1"/>
      <c r="N41" s="2"/>
      <c r="O41" s="1"/>
      <c r="P41" s="1"/>
      <c r="Q41" s="8"/>
      <c r="R41" s="8"/>
      <c r="S41" s="8"/>
      <c r="T41" s="8"/>
      <c r="U41" s="8"/>
      <c r="V41" s="8"/>
      <c r="W41" s="8"/>
      <c r="X41" s="8"/>
      <c r="Y41" s="8"/>
      <c r="Z41" s="8"/>
      <c r="AA41" s="8"/>
      <c r="AB41" s="1"/>
      <c r="AC41" s="1"/>
      <c r="AD41" s="1"/>
      <c r="AE41" s="1"/>
      <c r="AF41" s="1"/>
    </row>
    <row r="42" spans="1:32" ht="12.75" customHeight="1" x14ac:dyDescent="0.2">
      <c r="A42" s="46" t="s">
        <v>35</v>
      </c>
      <c r="B42" s="46"/>
      <c r="C42" s="47"/>
      <c r="D42" s="20"/>
      <c r="E42" s="20"/>
      <c r="F42" s="35" t="s">
        <v>140</v>
      </c>
      <c r="H42" s="115"/>
      <c r="I42" s="25"/>
      <c r="J42" s="1"/>
      <c r="N42" s="2"/>
      <c r="O42" s="1"/>
      <c r="P42" s="1"/>
      <c r="Q42" s="8"/>
      <c r="R42" s="52" t="s">
        <v>92</v>
      </c>
      <c r="S42" s="8"/>
      <c r="T42" s="8"/>
      <c r="V42" s="52" t="s">
        <v>89</v>
      </c>
      <c r="W42" s="8"/>
      <c r="X42" s="8"/>
      <c r="Y42" s="8"/>
      <c r="Z42" s="8"/>
      <c r="AA42" s="8"/>
      <c r="AB42" s="1"/>
      <c r="AC42" s="1"/>
      <c r="AD42" s="52" t="s">
        <v>90</v>
      </c>
      <c r="AE42" s="1"/>
      <c r="AF42" s="1"/>
    </row>
    <row r="43" spans="1:32" x14ac:dyDescent="0.2">
      <c r="A43" s="56" t="s">
        <v>36</v>
      </c>
      <c r="B43" s="46"/>
      <c r="C43" s="48"/>
      <c r="D43" s="20"/>
      <c r="E43" s="20"/>
      <c r="F43" s="83" t="s">
        <v>100</v>
      </c>
      <c r="G43" s="93"/>
      <c r="I43" s="30"/>
      <c r="J43" s="1"/>
      <c r="N43" s="2"/>
      <c r="O43" s="1"/>
      <c r="P43" s="1"/>
      <c r="Q43" s="8"/>
      <c r="R43" s="8"/>
      <c r="S43" s="8"/>
      <c r="T43" s="8"/>
      <c r="U43" s="8"/>
      <c r="V43" s="8"/>
      <c r="W43" s="8"/>
      <c r="X43" s="8"/>
      <c r="Y43" s="8"/>
      <c r="Z43" s="8"/>
      <c r="AA43" s="8"/>
      <c r="AB43" s="1"/>
      <c r="AC43" s="1"/>
      <c r="AD43" s="1"/>
      <c r="AE43" s="1"/>
      <c r="AF43" s="1"/>
    </row>
    <row r="44" spans="1:32" x14ac:dyDescent="0.2">
      <c r="A44" s="46"/>
      <c r="B44" s="46" t="s">
        <v>43</v>
      </c>
      <c r="C44" s="81">
        <f>C41*C42</f>
        <v>0</v>
      </c>
      <c r="D44" s="20"/>
      <c r="E44" s="20"/>
      <c r="I44" s="8"/>
      <c r="J44" s="1"/>
      <c r="N44" s="2"/>
      <c r="O44" s="1"/>
      <c r="P44" s="1"/>
      <c r="Q44" s="1" t="s">
        <v>17</v>
      </c>
      <c r="R44" s="1"/>
      <c r="S44" s="1"/>
      <c r="T44" s="1"/>
      <c r="U44" s="1" t="s">
        <v>77</v>
      </c>
      <c r="V44" s="1"/>
      <c r="W44" s="8"/>
      <c r="X44" s="8"/>
      <c r="Y44" s="8"/>
      <c r="Z44" s="8"/>
      <c r="AA44" s="8"/>
      <c r="AB44" s="1"/>
      <c r="AC44" s="1" t="s">
        <v>46</v>
      </c>
      <c r="AD44" s="1"/>
      <c r="AE44" s="8"/>
      <c r="AF44" s="1"/>
    </row>
    <row r="45" spans="1:32" x14ac:dyDescent="0.2">
      <c r="A45" s="46"/>
      <c r="B45" s="46"/>
      <c r="C45" s="46"/>
      <c r="D45" s="20"/>
      <c r="E45" s="20"/>
      <c r="F45" s="12" t="s">
        <v>54</v>
      </c>
      <c r="G45" s="24" t="str">
        <f>IF(H42="","",$V$56)</f>
        <v/>
      </c>
      <c r="H45" s="36" t="s">
        <v>2</v>
      </c>
      <c r="I45" s="31"/>
      <c r="J45" s="1"/>
      <c r="N45" s="2"/>
      <c r="O45" s="1"/>
      <c r="P45" s="1"/>
      <c r="Q45" s="1"/>
      <c r="R45" s="1"/>
      <c r="S45" s="1"/>
      <c r="T45" s="1"/>
      <c r="U45" s="1"/>
      <c r="V45" s="1"/>
      <c r="W45" s="8"/>
      <c r="X45" s="8"/>
      <c r="Y45" s="8"/>
      <c r="Z45" s="8"/>
      <c r="AA45" s="8"/>
      <c r="AB45" s="1"/>
      <c r="AC45" s="1"/>
      <c r="AD45" s="1"/>
      <c r="AE45" s="8"/>
      <c r="AF45" s="1"/>
    </row>
    <row r="46" spans="1:32" x14ac:dyDescent="0.2">
      <c r="A46" s="49" t="s">
        <v>20</v>
      </c>
      <c r="B46" s="49"/>
      <c r="C46" s="82">
        <f>C41+C44</f>
        <v>0</v>
      </c>
      <c r="D46" s="20"/>
      <c r="E46" s="20"/>
      <c r="F46" t="s">
        <v>121</v>
      </c>
      <c r="G46" s="122" t="str">
        <f>IF(H42="","",Y59)</f>
        <v/>
      </c>
      <c r="H46" s="117"/>
      <c r="I46" s="32"/>
      <c r="J46" s="1"/>
      <c r="N46" s="2"/>
      <c r="O46" s="1"/>
      <c r="P46" s="1"/>
      <c r="Q46" s="1"/>
      <c r="R46" s="1"/>
      <c r="S46" s="1"/>
      <c r="T46" s="1"/>
      <c r="U46" s="1"/>
      <c r="V46" s="1"/>
      <c r="W46" s="8"/>
      <c r="X46" s="8"/>
      <c r="Y46" s="8"/>
      <c r="Z46" s="8"/>
      <c r="AA46" s="8"/>
      <c r="AB46" s="1"/>
      <c r="AC46" s="1"/>
      <c r="AD46" s="1"/>
      <c r="AE46" s="8"/>
      <c r="AF46" s="1"/>
    </row>
    <row r="47" spans="1:32" ht="12" customHeight="1" x14ac:dyDescent="0.2">
      <c r="A47" s="50" t="s">
        <v>124</v>
      </c>
      <c r="B47" s="49"/>
      <c r="C47" s="51"/>
      <c r="D47" s="20"/>
      <c r="E47" s="20"/>
      <c r="F47" s="12" t="s">
        <v>105</v>
      </c>
      <c r="G47" s="33" t="str">
        <f>IF(H42="","",Y61)</f>
        <v/>
      </c>
      <c r="H47" s="36" t="s">
        <v>18</v>
      </c>
      <c r="I47" s="4"/>
      <c r="J47" s="1"/>
      <c r="N47" s="2"/>
      <c r="O47" s="1"/>
      <c r="P47" s="1"/>
      <c r="Q47" s="8" t="s">
        <v>13</v>
      </c>
      <c r="R47" s="8" t="s">
        <v>1</v>
      </c>
      <c r="S47" s="8" t="s">
        <v>15</v>
      </c>
      <c r="T47" s="8"/>
      <c r="U47" s="8" t="s">
        <v>13</v>
      </c>
      <c r="V47" s="8" t="s">
        <v>117</v>
      </c>
      <c r="W47" s="8" t="s">
        <v>118</v>
      </c>
      <c r="X47" s="8" t="s">
        <v>112</v>
      </c>
      <c r="Y47" s="8" t="s">
        <v>115</v>
      </c>
      <c r="AB47" s="1"/>
      <c r="AC47" s="8"/>
      <c r="AD47" s="8" t="s">
        <v>117</v>
      </c>
      <c r="AE47" s="8" t="s">
        <v>118</v>
      </c>
      <c r="AF47" s="1"/>
    </row>
    <row r="48" spans="1:32" ht="12" customHeight="1" x14ac:dyDescent="0.2">
      <c r="A48" s="50" t="s">
        <v>125</v>
      </c>
      <c r="B48" s="120"/>
      <c r="C48" s="121"/>
      <c r="D48" s="120"/>
      <c r="E48" s="20"/>
      <c r="F48" s="12" t="s">
        <v>106</v>
      </c>
      <c r="G48" s="24" t="str">
        <f>IF(H42="","",G47/G45)</f>
        <v/>
      </c>
      <c r="H48" s="36" t="s">
        <v>19</v>
      </c>
      <c r="I48" s="4"/>
      <c r="J48" s="1"/>
      <c r="N48" s="2"/>
      <c r="O48" s="1"/>
      <c r="P48" s="1"/>
      <c r="Q48" s="8">
        <v>1</v>
      </c>
      <c r="R48" s="64">
        <f>IF($C$52&lt;=$C$13,0,IF($C$52&lt;=$C$12,0.5*($C$52-$C$13)*($B$13-$B$12)*($C$52-$C$13)/($C$12-$C$13),0.5*($C$52-$C$12+$C$52-$C$13)*($B$13-$B$12)))</f>
        <v>0</v>
      </c>
      <c r="S48" s="64">
        <f>IF($C$52&lt;=$C$13,0,IF($C$52&lt;=$C$12,SQRT(($C$52-$C$13)^2+(($B$13-$B$12)*($C$52-$C$13)/($C$12-$C$13))^2),SQRT(($C$12-$C$13)^2+($B$13-$B$12)^2)))</f>
        <v>0</v>
      </c>
      <c r="T48" s="1"/>
      <c r="U48" s="8">
        <v>1</v>
      </c>
      <c r="V48" s="64">
        <f>IF($H$42&lt;=$C$13,0,IF($H$42&lt;=$C$12,0.5*($H$42-$C$13)*($B$13-$B$12)*($H$42-$C$13)/($C$12-$C$13),0.5*($H42-$C$12+$H$42-$C$13)*($B$13-$B$12)))</f>
        <v>0</v>
      </c>
      <c r="W48" s="64">
        <f>IF($H$42&lt;=$C$13,0,IF($H$42&lt;=$C$12,SQRT(($H$42-$C$13)^2+(($B$13-$B$12)*($H$42-$C$13)/($C$12-$C$13))^2),SQRT(($C$12-$C$13)^2+($B$13-$B$12)^2)))</f>
        <v>0</v>
      </c>
      <c r="X48" s="114">
        <f>$C$47</f>
        <v>0</v>
      </c>
      <c r="Y48" s="114">
        <f t="shared" ref="Y48:Y53" si="0">W48*(X48^2)</f>
        <v>0</v>
      </c>
      <c r="AB48" s="1"/>
      <c r="AC48" s="8"/>
      <c r="AD48" s="34"/>
      <c r="AE48" s="34"/>
      <c r="AF48" s="1"/>
    </row>
    <row r="49" spans="1:32" ht="25.5" customHeight="1" x14ac:dyDescent="0.2">
      <c r="D49" s="1"/>
      <c r="E49" s="1"/>
      <c r="F49" s="56"/>
      <c r="I49" s="1"/>
      <c r="J49" s="1"/>
      <c r="K49" s="1"/>
      <c r="L49" s="1"/>
      <c r="M49" s="1"/>
      <c r="N49" s="2"/>
      <c r="O49" s="1"/>
      <c r="P49" s="1"/>
      <c r="Q49" s="8">
        <v>2</v>
      </c>
      <c r="R49" s="64">
        <f>IF($C$52&lt;=$C$14,0,IF($C$52&lt;=$C$13,0.5*($C$52-$C$14)*($B$14-$B$13)*($C$52-$C$14)/($C$13-$C$14),0.5*($C$52-$C$13+$C$52-$C$14)*($B$14-$B$13)))</f>
        <v>0</v>
      </c>
      <c r="S49" s="64">
        <f>IF($C$52&lt;=$C$14,0,IF($C$52&lt;=$C$13,SQRT(($C$52-$C$14)^2+(($B$14-$B$13)*($C$52-$C$14)/($C$13-$C$14))^2),SQRT(($C$13-$C$14)^2+($B$14-$B$13)^2)))</f>
        <v>0</v>
      </c>
      <c r="T49" s="1"/>
      <c r="U49" s="8">
        <v>2</v>
      </c>
      <c r="V49" s="64">
        <f>IF($H$42&lt;=$C$14,0,IF($H$42&lt;=$C$13,0.5*($H$42-$C$14)*($B$14-$B$13)*($H$42-$C$14)/($C$13-$C$14),0.5*($H$42-$C$13+$H$42-$C$14)*($B$14-$B$13)))</f>
        <v>0</v>
      </c>
      <c r="W49" s="64">
        <f>IF($H$42&lt;=$C$14,0,IF($H$42&lt;=$C$13,SQRT(($H$42-$C$14)^2+(($B$14-$B$13)*($H$42-$C$14)/($C$13-$C$14))^2),SQRT(($C$13-$C$14)^2+($B$14-$B$13)^2)))</f>
        <v>0</v>
      </c>
      <c r="X49" s="114">
        <f>$C$46</f>
        <v>0</v>
      </c>
      <c r="Y49" s="114">
        <f t="shared" si="0"/>
        <v>0</v>
      </c>
      <c r="AB49" s="1"/>
      <c r="AC49" s="8"/>
      <c r="AD49" s="64"/>
      <c r="AE49" s="64"/>
      <c r="AF49" s="1"/>
    </row>
    <row r="50" spans="1:32" ht="12.75" customHeight="1" x14ac:dyDescent="0.25">
      <c r="A50" s="88" t="s">
        <v>152</v>
      </c>
      <c r="B50" s="15"/>
      <c r="C50" s="15"/>
      <c r="D50" s="89"/>
      <c r="E50" s="89"/>
      <c r="F50" s="90" t="s">
        <v>108</v>
      </c>
      <c r="J50" s="1"/>
      <c r="K50" s="1"/>
      <c r="L50" s="1"/>
      <c r="M50" s="1"/>
      <c r="N50" s="2"/>
      <c r="O50" s="1"/>
      <c r="P50" s="1"/>
      <c r="Q50" s="8">
        <v>3</v>
      </c>
      <c r="R50" s="64">
        <f>IF($C$52&lt;=$C$15,0,IF($C$52&lt;=$C$14,0.5*($C$52-$C$15)*($B$15-$B$14)*($C$52-$C$15)/($C$14-$C$15),0.5*($C$52-$C$14+$C$52-$C$15)*($B$15-$B$14)))</f>
        <v>0</v>
      </c>
      <c r="S50" s="64">
        <f>IF($C$52&lt;=$C$15,0,IF($C$52&lt;=$C$14,SQRT(($C$52-$C$15)^2+(($B$15-$B$14)*($C$52-$C$15)/($C$14-$C$15))^2),SQRT(($C$14-$C$15)^2+($B$15-$B$14)^2)))</f>
        <v>0</v>
      </c>
      <c r="T50" s="1"/>
      <c r="U50" s="8">
        <v>3</v>
      </c>
      <c r="V50" s="64">
        <f>IF($H$42&lt;=$C$15,0,IF($H$42&lt;=$C$14,0.5*($H$42-$C$15)*($B$15-$B$14)*($H$42-$C$15)/($C$14-$C$15),0.5*($H$42-$C$14+$H$42-$C$15)*($B$15-$B$14)))</f>
        <v>0</v>
      </c>
      <c r="W50" s="64">
        <f>IF($H$42&lt;=$C$15,0,IF($H$42&lt;=$C$14,SQRT(($H$42-$C$15)^2+(($B$15-$B$14)*($H$42-$C$15)/($C$14-$C$15))^2),SQRT(($C$14-$C$15)^2+($B$15-$B$14)^2)))</f>
        <v>0</v>
      </c>
      <c r="X50" s="114">
        <f>$C$46</f>
        <v>0</v>
      </c>
      <c r="Y50" s="114">
        <f t="shared" si="0"/>
        <v>0</v>
      </c>
      <c r="AB50" s="1"/>
      <c r="AC50" s="64" t="s">
        <v>110</v>
      </c>
      <c r="AE50" s="64"/>
      <c r="AF50" s="1"/>
    </row>
    <row r="51" spans="1:32" ht="15.75" x14ac:dyDescent="0.25">
      <c r="A51" s="56"/>
      <c r="B51" s="16"/>
      <c r="C51" s="16"/>
      <c r="D51" s="15"/>
      <c r="E51" s="1"/>
      <c r="J51" s="1"/>
      <c r="K51" s="1"/>
      <c r="L51" s="1"/>
      <c r="M51" s="1"/>
      <c r="N51" s="2"/>
      <c r="O51" s="1"/>
      <c r="P51" s="1"/>
      <c r="Q51" s="8">
        <v>4</v>
      </c>
      <c r="R51" s="64">
        <f>IF($C$52&lt;=$C$15,0,IF($C$52&lt;=$C$16,0.5*($C$52-$C$15)*($B$16-$B$15)*($C$52-$C$15)/($C$16-$C$15),0.5*($C$52-$C$16+$C$52-$C$15)*($B$16-$B$15)))</f>
        <v>0</v>
      </c>
      <c r="S51" s="64">
        <f>IF($C$52&lt;=$C$15,0,IF($C$52&lt;=$C$16,SQRT(($C$52-$C$15)^2+(($B$16-$B$15)*($C$52-$C$15)/($C$16-$C$15))^2),SQRT(($C$16-$C$15)^2+($B$16-$B$15)^2)))</f>
        <v>0</v>
      </c>
      <c r="T51" s="1"/>
      <c r="U51" s="8">
        <v>4</v>
      </c>
      <c r="V51" s="64">
        <f>IF($H$42&lt;=$C$15,0,IF($H$42&lt;=$C$16,0.5*($H$42-$C$15)*($B$16-$B$15)*($H$42-$C$15)/($C$16-$C$15),0.5*($H$42-$C$16+$H$42-$C$15)*($B$16-$B$15)))</f>
        <v>0</v>
      </c>
      <c r="W51" s="64">
        <f>IF($H$42&lt;=$C$15,0,IF($H$42&lt;=$C$16,SQRT(($H$42-$C$15)^2+(($B$16-$B$15)*($H$42-$C$15)/($C$16-$C$15))^2),SQRT(($C$16-$C$15)^2+($B$16-$B$15)^2)))</f>
        <v>0</v>
      </c>
      <c r="X51" s="114">
        <f>$C$46</f>
        <v>0</v>
      </c>
      <c r="Y51" s="114">
        <f t="shared" si="0"/>
        <v>0</v>
      </c>
      <c r="AB51" s="1"/>
      <c r="AC51" s="8"/>
      <c r="AD51" s="64"/>
      <c r="AE51" s="64"/>
      <c r="AF51" s="1"/>
    </row>
    <row r="52" spans="1:32" ht="11.25" customHeight="1" x14ac:dyDescent="0.25">
      <c r="A52" s="12" t="s">
        <v>141</v>
      </c>
      <c r="B52" s="10"/>
      <c r="C52" s="131"/>
      <c r="D52" s="15"/>
      <c r="E52" s="1"/>
      <c r="F52" s="39" t="s">
        <v>4</v>
      </c>
      <c r="G52" s="109" t="s">
        <v>6</v>
      </c>
      <c r="H52" s="148" t="s">
        <v>60</v>
      </c>
      <c r="I52" s="149"/>
      <c r="J52" s="1"/>
      <c r="K52" s="1"/>
      <c r="L52" s="1"/>
      <c r="M52" s="1"/>
      <c r="N52" s="2"/>
      <c r="O52" s="1"/>
      <c r="P52" s="1"/>
      <c r="Q52" s="8">
        <v>5</v>
      </c>
      <c r="R52" s="64">
        <f>IF($C$52&lt;=$C$16,0,IF($C$52&lt;=$C$17,0.5*($C$52-$C$16)*($B$17-$B$16)*($C$52-$C$16)/($C$17-$C$16),0.5*($C$52-$C$17+$C$52-$C$16)*($B$17-$B$16)))</f>
        <v>0</v>
      </c>
      <c r="S52" s="64">
        <f>IF($C$52&lt;=$C$16,0,IF($C$52&lt;=$C$17,SQRT(($C$52-$C$16)^2+(($B$17-$B$16)*($C$52-$C$16)/($C$17-$C$16))^2),SQRT(($C$17-$C$16)^2+($B$17-$B$16)^2)))</f>
        <v>0</v>
      </c>
      <c r="T52" s="1"/>
      <c r="U52" s="8">
        <v>5</v>
      </c>
      <c r="V52" s="64">
        <f>IF($H$42&lt;=$C$16,0,IF($H$42&lt;=$C$17,0.5*($H$42-$C$16)*($B$17-$B$16)*($H$42-$C$16)/($C$17-$C$16),0.5*($H$42-$C$17+$H$42-$C$16)*($B$17-$B$16)))</f>
        <v>0</v>
      </c>
      <c r="W52" s="64">
        <f>IF($H$42&lt;=$C$16,0,IF($H$42&lt;=$C$17,SQRT(($H$42-$C$16)^2+(($B$17-$B$16)*($H$42-$C$16)/($C$17-$C$16))^2),SQRT(($C$17-$C$16)^2+($B$17-$B$16)^2)))</f>
        <v>0</v>
      </c>
      <c r="X52" s="114">
        <f>$C$46</f>
        <v>0</v>
      </c>
      <c r="Y52" s="114">
        <f t="shared" si="0"/>
        <v>0</v>
      </c>
      <c r="AB52" s="1"/>
      <c r="AC52" s="8"/>
      <c r="AD52" s="64"/>
      <c r="AE52" s="64"/>
      <c r="AF52" s="1"/>
    </row>
    <row r="53" spans="1:32" ht="12.75" customHeight="1" x14ac:dyDescent="0.25">
      <c r="A53" s="54" t="s">
        <v>26</v>
      </c>
      <c r="B53" s="21"/>
      <c r="C53" s="21"/>
      <c r="D53" s="1"/>
      <c r="E53" s="1"/>
      <c r="F53" s="104" t="s">
        <v>107</v>
      </c>
      <c r="G53" s="108" t="s">
        <v>59</v>
      </c>
      <c r="H53" s="146" t="s">
        <v>47</v>
      </c>
      <c r="I53" s="147"/>
      <c r="K53" s="57"/>
      <c r="L53" s="1"/>
      <c r="M53" s="1"/>
      <c r="N53" s="2"/>
      <c r="O53" s="1"/>
      <c r="P53" s="1"/>
      <c r="Q53" s="8">
        <v>6</v>
      </c>
      <c r="R53" s="64">
        <f>IF($C$52&lt;=$C$17,0,IF($C$52&lt;=$C$18,0.5*($C$52-$C$17)*($B$18-$B$17)*($C$52-$C$17)/($C$18-$C$17),0.5*($C$52-$C$18+$C$52-$C$17)*($B$18-$B$17)))</f>
        <v>0</v>
      </c>
      <c r="S53" s="64">
        <f>IF($C$52&lt;=$C$17,0,IF($C$52&lt;=$C$18,SQRT(($C$52-$C$17)^2+(($B$18-$B$17)*($C$52-$C$17)/($C$18-$C$17))^2),SQRT(($C$18-$C$17)^2+($B$18-$B$17)^2)))</f>
        <v>0</v>
      </c>
      <c r="T53" s="1"/>
      <c r="U53" s="8">
        <v>6</v>
      </c>
      <c r="V53" s="64">
        <f>IF($H$42&lt;=$C$17,0,IF($H$42&lt;=$C$18,0.5*($H$42-$C$17)*($B$18-$B$17)*($H$42-$C$17)/($C$18-$C$17),0.5*($H$42-$C$18+$H$42-$C$17)*($B$18-$B$17)))</f>
        <v>0</v>
      </c>
      <c r="W53" s="64">
        <f>IF($H$42&lt;=$C$17,0,IF($H$42&lt;=$C$18,SQRT(($H$42-$C$17)^2+(($B$18-$B$17)*($H$42-$C$17)/($C$18-$C$17))^2),SQRT(($C$18-$C$17)^2+($B$18-$B$17)^2)))</f>
        <v>0</v>
      </c>
      <c r="X53" s="114">
        <f>$C$48</f>
        <v>0</v>
      </c>
      <c r="Y53" s="114">
        <f t="shared" si="0"/>
        <v>0</v>
      </c>
      <c r="AB53" s="1"/>
      <c r="AC53" s="8"/>
      <c r="AD53" s="34"/>
      <c r="AE53" s="34"/>
      <c r="AF53" s="1"/>
    </row>
    <row r="54" spans="1:32" ht="12" customHeight="1" x14ac:dyDescent="0.2">
      <c r="A54" s="23"/>
      <c r="B54" s="21"/>
      <c r="C54" s="21"/>
      <c r="D54" s="1"/>
      <c r="E54" s="1"/>
      <c r="F54" s="104" t="s">
        <v>48</v>
      </c>
      <c r="G54" s="146" t="s">
        <v>50</v>
      </c>
      <c r="H54" s="150"/>
      <c r="I54" s="147"/>
      <c r="K54" s="1"/>
      <c r="L54" s="1"/>
      <c r="M54" s="1"/>
      <c r="N54" s="2"/>
      <c r="O54" s="1"/>
      <c r="P54" s="1"/>
      <c r="Q54" s="8"/>
      <c r="R54" s="34"/>
      <c r="S54" s="34"/>
      <c r="T54" s="1"/>
      <c r="U54" s="8"/>
      <c r="V54" s="34"/>
      <c r="W54" s="34"/>
      <c r="X54" s="34"/>
      <c r="Y54" s="34"/>
      <c r="AB54" s="1"/>
      <c r="AC54" s="8"/>
      <c r="AD54" s="34"/>
      <c r="AE54" s="34"/>
      <c r="AF54" s="1"/>
    </row>
    <row r="55" spans="1:32" ht="14.25" customHeight="1" x14ac:dyDescent="0.2">
      <c r="A55" s="12" t="s">
        <v>54</v>
      </c>
      <c r="B55" s="24" t="str">
        <f>IF(C52="","",$R$56)</f>
        <v/>
      </c>
      <c r="C55" s="36" t="s">
        <v>2</v>
      </c>
      <c r="D55" s="1"/>
      <c r="E55" s="1"/>
      <c r="K55" s="1"/>
      <c r="L55" s="1"/>
      <c r="M55" s="1"/>
      <c r="N55" s="2"/>
      <c r="O55" s="1"/>
      <c r="P55" s="1"/>
      <c r="Q55" s="8"/>
      <c r="R55" s="34"/>
      <c r="S55" s="34"/>
      <c r="T55" s="1"/>
      <c r="U55" s="8"/>
      <c r="V55" s="34"/>
      <c r="W55" s="34"/>
      <c r="X55" s="34"/>
      <c r="Y55" s="34"/>
      <c r="AB55" s="1"/>
      <c r="AC55" s="8"/>
      <c r="AD55" s="34"/>
      <c r="AE55" s="34"/>
      <c r="AF55" s="1"/>
    </row>
    <row r="56" spans="1:32" ht="15" customHeight="1" x14ac:dyDescent="0.2">
      <c r="A56" s="12" t="s">
        <v>55</v>
      </c>
      <c r="B56" s="24" t="str">
        <f>IF(C52="","",$S$56)</f>
        <v/>
      </c>
      <c r="C56" s="36" t="s">
        <v>3</v>
      </c>
      <c r="D56" s="1"/>
      <c r="E56" s="1"/>
      <c r="K56" s="1"/>
      <c r="L56" s="1"/>
      <c r="M56" s="1"/>
      <c r="N56" s="2"/>
      <c r="O56" s="1"/>
      <c r="P56" s="1"/>
      <c r="Q56" s="8" t="s">
        <v>14</v>
      </c>
      <c r="R56" s="64">
        <f>SUM(R48:R53)</f>
        <v>0</v>
      </c>
      <c r="S56" s="64">
        <f>SUM(S48:S53)</f>
        <v>0</v>
      </c>
      <c r="T56" s="1"/>
      <c r="U56" s="8" t="s">
        <v>14</v>
      </c>
      <c r="V56" s="64">
        <f>SUM(V48:V53)</f>
        <v>0</v>
      </c>
      <c r="W56" s="64">
        <f>SUM(W48:W53)</f>
        <v>0</v>
      </c>
      <c r="X56" s="64"/>
      <c r="Y56" s="114">
        <f>SUM(Y48:Y53)</f>
        <v>0</v>
      </c>
      <c r="AB56" s="1"/>
      <c r="AC56" s="8" t="s">
        <v>14</v>
      </c>
      <c r="AD56" s="64">
        <f>SUM(V49:V52)</f>
        <v>0</v>
      </c>
      <c r="AE56" s="64">
        <f>SUM(W49:W52)</f>
        <v>0</v>
      </c>
      <c r="AF56" s="1"/>
    </row>
    <row r="57" spans="1:32" ht="15" x14ac:dyDescent="0.25">
      <c r="A57" s="12" t="s">
        <v>56</v>
      </c>
      <c r="B57" s="26" t="str">
        <f>IF(C52="","",B55/B56)</f>
        <v/>
      </c>
      <c r="C57" s="27" t="s">
        <v>3</v>
      </c>
      <c r="D57" s="37"/>
      <c r="E57" s="1"/>
      <c r="F57" s="90" t="s">
        <v>155</v>
      </c>
      <c r="K57" s="1"/>
      <c r="L57" s="1"/>
      <c r="M57" s="1"/>
      <c r="N57" s="2"/>
      <c r="O57" s="1"/>
      <c r="P57" s="1"/>
      <c r="Q57" s="1"/>
      <c r="R57" s="1"/>
      <c r="S57" s="1"/>
      <c r="T57" s="1"/>
      <c r="U57" s="1"/>
      <c r="V57" s="1"/>
      <c r="W57" s="1"/>
      <c r="X57" s="1"/>
      <c r="Y57" s="1"/>
      <c r="Z57" s="1"/>
      <c r="AA57" s="1"/>
      <c r="AB57" s="1"/>
      <c r="AC57" s="1"/>
      <c r="AD57" s="1"/>
      <c r="AE57" s="1"/>
      <c r="AF57" s="1"/>
    </row>
    <row r="58" spans="1:32" x14ac:dyDescent="0.2">
      <c r="A58" s="12" t="s">
        <v>57</v>
      </c>
      <c r="B58" s="28" t="str">
        <f>IF($B$22="","",ABS(($C$21-$C$22)/($B$22-$B$21)))</f>
        <v/>
      </c>
      <c r="C58" s="29"/>
      <c r="D58" s="1"/>
      <c r="E58" s="1"/>
      <c r="K58" s="1"/>
      <c r="L58" s="1"/>
      <c r="M58" s="1"/>
      <c r="N58" s="2"/>
      <c r="O58" s="1"/>
      <c r="P58" s="1"/>
      <c r="Q58" s="1"/>
      <c r="R58" s="1"/>
      <c r="S58" s="1"/>
      <c r="T58" s="1"/>
      <c r="U58" s="1"/>
      <c r="V58" s="1"/>
      <c r="W58" s="1"/>
      <c r="X58" s="64"/>
      <c r="Y58" s="1"/>
      <c r="Z58" s="1"/>
      <c r="AA58" s="1"/>
      <c r="AB58" s="1"/>
      <c r="AC58" s="1"/>
      <c r="AD58" s="1"/>
      <c r="AE58" s="1"/>
      <c r="AF58" s="1"/>
    </row>
    <row r="59" spans="1:32" x14ac:dyDescent="0.2">
      <c r="A59" s="22" t="s">
        <v>122</v>
      </c>
      <c r="B59" s="119" t="str">
        <f>IF(C52="","",$C$46)</f>
        <v/>
      </c>
      <c r="C59" s="118"/>
      <c r="D59" s="1"/>
      <c r="E59" s="1"/>
      <c r="F59" s="126" t="s">
        <v>156</v>
      </c>
      <c r="H59" s="127" t="str">
        <f>IF(G38="","",MIN(G47,B62))</f>
        <v/>
      </c>
      <c r="I59" s="129" t="s">
        <v>18</v>
      </c>
      <c r="K59" s="1"/>
      <c r="L59" s="1"/>
      <c r="M59" s="1"/>
      <c r="N59" s="2"/>
      <c r="O59" s="1"/>
      <c r="P59" s="1"/>
      <c r="Q59" s="1"/>
      <c r="R59" s="1"/>
      <c r="S59" s="1"/>
      <c r="T59" s="1"/>
      <c r="U59" s="1"/>
      <c r="V59" s="1"/>
      <c r="W59" s="1"/>
      <c r="X59" s="1" t="s">
        <v>119</v>
      </c>
      <c r="Y59" s="116" t="e">
        <f>SQRT(Y56/W56)</f>
        <v>#DIV/0!</v>
      </c>
      <c r="AB59" s="1"/>
      <c r="AC59" s="1"/>
      <c r="AD59" s="1" t="s">
        <v>116</v>
      </c>
      <c r="AE59" s="114">
        <f>C46</f>
        <v>0</v>
      </c>
      <c r="AF59" s="1"/>
    </row>
    <row r="60" spans="1:32" x14ac:dyDescent="0.2">
      <c r="A60" s="56" t="s">
        <v>111</v>
      </c>
      <c r="B60" s="32"/>
      <c r="C60" s="32"/>
      <c r="D60" s="1"/>
      <c r="E60" s="1"/>
      <c r="K60" s="1"/>
      <c r="L60" s="1"/>
      <c r="M60" s="1"/>
      <c r="N60" s="2"/>
      <c r="O60" s="1"/>
      <c r="P60" s="1"/>
      <c r="Q60" s="1"/>
      <c r="R60" s="1"/>
      <c r="S60" s="1"/>
      <c r="T60" s="1"/>
      <c r="U60" s="1"/>
      <c r="V60" s="1"/>
      <c r="W60" s="1"/>
      <c r="X60" s="1" t="s">
        <v>113</v>
      </c>
      <c r="Y60" s="64" t="e">
        <f>1.486/Y59*($V$56/$W$56)^(2/3)*SQRT($C$23)</f>
        <v>#DIV/0!</v>
      </c>
      <c r="AB60" s="1"/>
      <c r="AC60" s="1"/>
      <c r="AD60" s="1" t="s">
        <v>113</v>
      </c>
      <c r="AE60" s="64" t="e">
        <f>1.486/AE59*($AD$56/$AE$56)^(2/3)*SQRT($C$23)</f>
        <v>#DIV/0!</v>
      </c>
      <c r="AF60" s="1"/>
    </row>
    <row r="61" spans="1:32" ht="13.5" customHeight="1" x14ac:dyDescent="0.2">
      <c r="A61" s="12" t="s">
        <v>58</v>
      </c>
      <c r="B61" s="124" t="str">
        <f>IF(C46=0,"",(1.486/$C$46)*(B57^(2/3))*(B58^(1/2)))</f>
        <v/>
      </c>
      <c r="C61" s="125" t="s">
        <v>19</v>
      </c>
      <c r="D61" s="1"/>
      <c r="E61" s="1"/>
      <c r="F61" s="151" t="s">
        <v>153</v>
      </c>
      <c r="K61" s="1"/>
      <c r="L61" s="1"/>
      <c r="M61" s="1"/>
      <c r="N61" s="2"/>
      <c r="O61" s="1"/>
      <c r="P61" s="1"/>
      <c r="Q61" s="1"/>
      <c r="R61" s="1"/>
      <c r="S61" s="34"/>
      <c r="T61" s="1"/>
      <c r="U61" s="8"/>
      <c r="V61" s="1"/>
      <c r="W61" s="34"/>
      <c r="X61" s="34" t="s">
        <v>114</v>
      </c>
      <c r="Y61" s="64" t="e">
        <f>Y60*V56</f>
        <v>#DIV/0!</v>
      </c>
      <c r="AB61" s="1"/>
      <c r="AC61" s="1"/>
      <c r="AD61" s="34" t="s">
        <v>114</v>
      </c>
      <c r="AE61" s="64" t="e">
        <f>AD56*AE60</f>
        <v>#DIV/0!</v>
      </c>
      <c r="AF61" s="1"/>
    </row>
    <row r="62" spans="1:32" ht="12.75" customHeight="1" x14ac:dyDescent="0.2">
      <c r="A62" s="12" t="s">
        <v>24</v>
      </c>
      <c r="B62" s="33" t="str">
        <f>IF(B61="","",B61*B55)</f>
        <v/>
      </c>
      <c r="C62" s="27" t="s">
        <v>18</v>
      </c>
      <c r="D62" s="37"/>
      <c r="E62" s="37"/>
      <c r="F62" s="151"/>
      <c r="H62" s="130" t="str">
        <f>IF(G38="","",IF(B62&lt;G47,C52,H42))</f>
        <v/>
      </c>
      <c r="I62" s="128" t="s">
        <v>157</v>
      </c>
      <c r="K62" s="1"/>
      <c r="L62" s="1"/>
      <c r="M62" s="1"/>
      <c r="N62" s="2"/>
      <c r="O62" s="1"/>
      <c r="P62" s="1"/>
      <c r="Q62" s="1"/>
      <c r="R62" s="1"/>
      <c r="S62" s="34"/>
      <c r="T62" s="1"/>
      <c r="U62" s="8"/>
      <c r="V62" s="1"/>
      <c r="W62" s="34"/>
      <c r="X62" s="34"/>
      <c r="Y62" s="34"/>
      <c r="Z62" s="34"/>
      <c r="AA62" s="34"/>
      <c r="AB62" s="1"/>
      <c r="AC62" s="1"/>
      <c r="AD62" s="1"/>
      <c r="AE62" s="1"/>
      <c r="AF62" s="1"/>
    </row>
    <row r="63" spans="1:32" x14ac:dyDescent="0.2">
      <c r="D63" s="106"/>
      <c r="E63" s="107"/>
      <c r="I63" s="1"/>
      <c r="K63" s="1"/>
      <c r="L63" s="1"/>
      <c r="M63" s="1"/>
      <c r="N63" s="2"/>
      <c r="O63" s="1"/>
      <c r="P63" s="1"/>
      <c r="Q63" s="1"/>
      <c r="R63" s="1"/>
      <c r="S63" s="1"/>
      <c r="T63" s="1"/>
      <c r="U63" s="8"/>
      <c r="V63" s="1"/>
      <c r="W63" s="1"/>
      <c r="X63" s="1"/>
      <c r="Y63" s="1"/>
      <c r="Z63" s="1"/>
      <c r="AA63" s="1"/>
      <c r="AB63" s="1"/>
      <c r="AC63" s="1"/>
      <c r="AD63" s="1"/>
      <c r="AE63" s="1"/>
      <c r="AF63" s="1"/>
    </row>
    <row r="64" spans="1:32" x14ac:dyDescent="0.2">
      <c r="D64" s="106"/>
      <c r="E64" s="106"/>
      <c r="K64" s="1"/>
      <c r="L64" s="1"/>
      <c r="M64" s="1"/>
      <c r="N64" s="2"/>
      <c r="O64" s="1"/>
      <c r="P64" s="1"/>
      <c r="Q64" s="1"/>
      <c r="R64" s="1"/>
      <c r="S64" s="1"/>
      <c r="T64" s="1"/>
      <c r="U64" s="1"/>
      <c r="V64" s="1"/>
      <c r="W64" s="1"/>
      <c r="X64" s="1"/>
      <c r="Y64" s="1"/>
      <c r="Z64" s="1"/>
      <c r="AA64" s="1"/>
      <c r="AB64" s="1"/>
      <c r="AC64" s="1"/>
      <c r="AD64" s="1"/>
      <c r="AE64" s="1"/>
      <c r="AF64" s="1"/>
    </row>
    <row r="65" spans="1:32" x14ac:dyDescent="0.2">
      <c r="D65" s="45"/>
      <c r="E65" s="45"/>
      <c r="K65" s="1"/>
      <c r="L65" s="1"/>
      <c r="M65" s="1"/>
      <c r="N65" s="2"/>
      <c r="O65" s="1"/>
      <c r="P65" s="1"/>
      <c r="Q65" s="1"/>
      <c r="R65" s="1"/>
      <c r="S65" s="1"/>
      <c r="T65" s="1"/>
      <c r="U65" s="1"/>
      <c r="V65" s="1"/>
      <c r="W65" s="1"/>
      <c r="X65" s="1"/>
      <c r="Y65" s="1"/>
      <c r="Z65" s="1"/>
      <c r="AA65" s="1"/>
      <c r="AB65" s="1"/>
      <c r="AC65" s="1"/>
      <c r="AD65" s="1"/>
      <c r="AE65" s="1"/>
      <c r="AF65" s="1"/>
    </row>
    <row r="66" spans="1:32" x14ac:dyDescent="0.2">
      <c r="D66" s="106"/>
      <c r="E66" s="106"/>
      <c r="J66" s="1"/>
      <c r="K66" s="1"/>
      <c r="L66" s="1"/>
      <c r="M66" s="1"/>
      <c r="N66" s="2"/>
      <c r="O66" s="1"/>
      <c r="P66" s="1"/>
      <c r="Q66" s="1"/>
      <c r="R66" s="1"/>
      <c r="S66" s="1"/>
      <c r="T66" s="1"/>
      <c r="U66" s="1"/>
      <c r="V66" s="1"/>
      <c r="W66" s="1"/>
      <c r="X66" s="1"/>
      <c r="Y66" s="1"/>
      <c r="Z66" s="1"/>
      <c r="AA66" s="1"/>
      <c r="AB66" s="1"/>
      <c r="AC66" s="1"/>
      <c r="AD66" s="1"/>
      <c r="AE66" s="1"/>
      <c r="AF66" s="1"/>
    </row>
    <row r="67" spans="1:32" x14ac:dyDescent="0.2">
      <c r="A67" s="45"/>
      <c r="B67" s="103"/>
      <c r="C67" s="106"/>
      <c r="D67" s="106"/>
      <c r="E67" s="106"/>
      <c r="F67" s="106"/>
      <c r="I67" s="1"/>
      <c r="J67" s="1"/>
      <c r="K67" s="1"/>
      <c r="L67" s="1"/>
      <c r="M67" s="1"/>
      <c r="N67" s="2"/>
      <c r="O67" s="1"/>
      <c r="P67" s="1"/>
      <c r="Q67" s="1"/>
      <c r="R67" s="1"/>
      <c r="S67" s="1"/>
      <c r="T67" s="1"/>
      <c r="U67" s="1"/>
      <c r="V67" s="1"/>
      <c r="W67" s="1"/>
      <c r="X67" s="1"/>
      <c r="Y67" s="1"/>
      <c r="Z67" s="1"/>
      <c r="AA67" s="1"/>
      <c r="AB67" s="1"/>
      <c r="AC67" s="1"/>
      <c r="AD67" s="1"/>
      <c r="AE67" s="1"/>
      <c r="AF67" s="1"/>
    </row>
    <row r="68" spans="1:32" x14ac:dyDescent="0.2">
      <c r="D68" s="105"/>
      <c r="E68" s="105"/>
      <c r="F68" s="105"/>
      <c r="H68" s="1"/>
      <c r="I68" s="1"/>
      <c r="J68" s="1"/>
      <c r="K68" s="1"/>
      <c r="L68" s="1"/>
      <c r="M68" s="1"/>
      <c r="N68" s="2"/>
      <c r="O68" s="1"/>
      <c r="P68" s="1"/>
      <c r="Q68" s="1"/>
      <c r="R68" s="1"/>
      <c r="S68" s="1"/>
      <c r="T68" s="1"/>
      <c r="U68" s="1"/>
      <c r="V68" s="1"/>
      <c r="W68" s="1"/>
      <c r="X68" s="1"/>
      <c r="Y68" s="1"/>
      <c r="Z68" s="1"/>
      <c r="AA68" s="1"/>
      <c r="AB68" s="1"/>
      <c r="AC68" s="1"/>
      <c r="AD68" s="1"/>
      <c r="AE68" s="1"/>
      <c r="AF68" s="1"/>
    </row>
    <row r="69" spans="1:32" x14ac:dyDescent="0.2">
      <c r="H69" s="1"/>
      <c r="I69" s="1"/>
      <c r="J69" s="1"/>
      <c r="K69" s="1"/>
      <c r="L69" s="1"/>
      <c r="M69" s="1"/>
      <c r="N69" s="2"/>
      <c r="O69" s="1"/>
      <c r="P69" s="1"/>
      <c r="Q69" s="1"/>
      <c r="R69" s="1"/>
      <c r="S69" s="1"/>
      <c r="T69" s="1"/>
      <c r="U69" s="1"/>
      <c r="V69" s="1"/>
      <c r="W69" s="1"/>
      <c r="X69" s="1"/>
      <c r="Y69" s="1"/>
      <c r="Z69" s="1"/>
      <c r="AA69" s="1"/>
      <c r="AB69" s="1"/>
      <c r="AC69" s="1"/>
      <c r="AD69" s="1"/>
      <c r="AE69" s="1"/>
      <c r="AF69" s="1"/>
    </row>
    <row r="70" spans="1:32" x14ac:dyDescent="0.2">
      <c r="H70" s="38"/>
      <c r="I70" s="1"/>
      <c r="J70" s="1"/>
      <c r="K70" s="38"/>
      <c r="L70" s="38"/>
      <c r="M70" s="38"/>
      <c r="N70" s="2"/>
      <c r="O70" s="1"/>
      <c r="P70" s="1"/>
      <c r="Q70" s="1"/>
      <c r="R70" s="1"/>
      <c r="S70" s="1"/>
      <c r="T70" s="1"/>
      <c r="U70" s="1"/>
      <c r="V70" s="1"/>
      <c r="W70" s="1"/>
      <c r="X70" s="1"/>
      <c r="Y70" s="1"/>
      <c r="Z70" s="1"/>
      <c r="AA70" s="1"/>
      <c r="AB70" s="1"/>
      <c r="AC70" s="1"/>
      <c r="AD70" s="1"/>
      <c r="AE70" s="1"/>
      <c r="AF70" s="1"/>
    </row>
    <row r="71" spans="1:32" x14ac:dyDescent="0.2">
      <c r="G71" s="38"/>
      <c r="H71" s="38"/>
      <c r="I71" s="1"/>
      <c r="J71" s="1"/>
      <c r="K71" s="38"/>
      <c r="L71" s="38"/>
      <c r="M71" s="38"/>
      <c r="N71" s="2"/>
      <c r="O71" s="1"/>
      <c r="P71" s="1"/>
      <c r="Q71" s="1"/>
      <c r="R71" s="1"/>
      <c r="S71" s="1"/>
      <c r="T71" s="1"/>
      <c r="U71" s="1"/>
      <c r="V71" s="1"/>
      <c r="W71" s="1"/>
      <c r="X71" s="1"/>
      <c r="Y71" s="1"/>
      <c r="Z71" s="1"/>
      <c r="AA71" s="1"/>
      <c r="AB71" s="1"/>
      <c r="AC71" s="1"/>
      <c r="AD71" s="1"/>
      <c r="AE71" s="1"/>
      <c r="AF71" s="1"/>
    </row>
    <row r="72" spans="1:32" ht="15" x14ac:dyDescent="0.2">
      <c r="H72" s="4"/>
      <c r="I72" s="4"/>
      <c r="J72" s="4"/>
      <c r="K72" s="38"/>
      <c r="L72" s="40"/>
      <c r="M72" s="41"/>
      <c r="N72" s="5"/>
      <c r="O72" s="4"/>
      <c r="P72" s="4"/>
      <c r="Q72" s="4"/>
      <c r="R72" s="4"/>
      <c r="S72" s="4"/>
      <c r="T72" s="4"/>
      <c r="U72" s="4"/>
      <c r="V72" s="4"/>
      <c r="W72" s="4"/>
      <c r="X72" s="4"/>
      <c r="Y72" s="4"/>
      <c r="Z72" s="4"/>
      <c r="AA72" s="4"/>
      <c r="AB72" s="4"/>
      <c r="AC72" s="4"/>
      <c r="AD72" s="4"/>
      <c r="AE72" s="4"/>
      <c r="AF72" s="4"/>
    </row>
    <row r="73" spans="1:32" ht="15" x14ac:dyDescent="0.2">
      <c r="H73" s="4"/>
      <c r="I73" s="4"/>
      <c r="J73" s="4"/>
      <c r="K73" s="19"/>
      <c r="L73" s="142"/>
      <c r="M73" s="142"/>
      <c r="N73" s="5"/>
      <c r="O73" s="4"/>
      <c r="P73" s="4"/>
      <c r="Q73" s="4"/>
      <c r="R73" s="4"/>
      <c r="S73" s="4"/>
      <c r="T73" s="4"/>
      <c r="U73" s="4"/>
      <c r="V73" s="4"/>
      <c r="W73" s="4"/>
      <c r="X73" s="4"/>
      <c r="Y73" s="4"/>
      <c r="Z73" s="4"/>
      <c r="AA73" s="4"/>
      <c r="AB73" s="4"/>
      <c r="AC73" s="4"/>
      <c r="AD73" s="4"/>
      <c r="AE73" s="4"/>
      <c r="AF73" s="4"/>
    </row>
    <row r="74" spans="1:32" x14ac:dyDescent="0.2">
      <c r="H74" s="42"/>
      <c r="I74" s="1"/>
      <c r="J74" s="1"/>
      <c r="K74" s="1"/>
      <c r="L74" s="1"/>
      <c r="M74" s="1"/>
      <c r="N74" s="2"/>
      <c r="O74" s="1"/>
      <c r="P74" s="1"/>
      <c r="Q74" s="1"/>
      <c r="R74" s="1"/>
      <c r="S74" s="1"/>
      <c r="T74" s="1"/>
      <c r="U74" s="1"/>
      <c r="V74" s="1"/>
      <c r="W74" s="1"/>
      <c r="X74" s="1"/>
      <c r="Y74" s="1"/>
      <c r="Z74" s="1"/>
      <c r="AA74" s="1"/>
      <c r="AB74" s="1"/>
      <c r="AC74" s="1"/>
      <c r="AD74" s="1"/>
      <c r="AE74" s="1"/>
      <c r="AF74" s="1"/>
    </row>
    <row r="75" spans="1:32" x14ac:dyDescent="0.2">
      <c r="A75" s="1"/>
      <c r="B75" s="1"/>
      <c r="C75" s="1"/>
      <c r="D75" s="1"/>
      <c r="E75" s="40"/>
      <c r="F75" s="31"/>
      <c r="G75" s="31"/>
      <c r="H75" s="43"/>
      <c r="I75" s="9"/>
      <c r="J75" s="1"/>
      <c r="K75" s="1"/>
      <c r="L75" s="1"/>
      <c r="M75" s="1"/>
      <c r="N75" s="2"/>
      <c r="O75" s="1"/>
      <c r="P75" s="1"/>
      <c r="Q75" s="1"/>
      <c r="R75" s="1"/>
      <c r="S75" s="1"/>
      <c r="T75" s="1"/>
      <c r="U75" s="1"/>
      <c r="V75" s="1"/>
      <c r="W75" s="1"/>
      <c r="X75" s="1"/>
      <c r="Y75" s="1"/>
      <c r="Z75" s="1"/>
      <c r="AA75" s="1"/>
      <c r="AB75" s="1"/>
      <c r="AC75" s="1"/>
      <c r="AD75" s="1"/>
      <c r="AE75" s="1"/>
      <c r="AF75" s="1"/>
    </row>
    <row r="76" spans="1:32" x14ac:dyDescent="0.2">
      <c r="A76" s="1"/>
      <c r="B76" s="1"/>
      <c r="C76" s="1"/>
      <c r="D76" s="1"/>
      <c r="E76" s="1"/>
      <c r="F76" s="42"/>
      <c r="G76" s="12"/>
      <c r="H76" s="44"/>
      <c r="I76" s="21"/>
      <c r="J76" s="1"/>
      <c r="K76" s="1"/>
      <c r="L76" s="1"/>
      <c r="M76" s="1"/>
      <c r="N76" s="2"/>
      <c r="O76" s="1"/>
      <c r="P76" s="1"/>
      <c r="Q76" s="1"/>
      <c r="R76" s="1"/>
      <c r="S76" s="1"/>
      <c r="T76" s="1"/>
      <c r="U76" s="1"/>
      <c r="V76" s="1"/>
      <c r="W76" s="1"/>
      <c r="X76" s="1"/>
      <c r="Y76" s="1"/>
      <c r="Z76" s="1"/>
      <c r="AA76" s="1"/>
      <c r="AB76" s="1"/>
      <c r="AC76" s="1"/>
      <c r="AD76" s="1"/>
      <c r="AE76" s="1"/>
      <c r="AF76" s="1"/>
    </row>
    <row r="77" spans="1:32" x14ac:dyDescent="0.2">
      <c r="A77" s="1"/>
      <c r="B77" s="1"/>
      <c r="C77" s="1"/>
      <c r="D77" s="1"/>
      <c r="E77" s="1"/>
      <c r="F77" s="45"/>
      <c r="G77" s="12"/>
      <c r="H77" s="44"/>
      <c r="I77" s="1"/>
      <c r="J77" s="1"/>
      <c r="K77" s="1"/>
      <c r="L77" s="1"/>
      <c r="M77" s="1"/>
      <c r="N77" s="2"/>
      <c r="O77" s="1"/>
      <c r="P77" s="1"/>
      <c r="Q77" s="1"/>
      <c r="R77" s="1"/>
      <c r="S77" s="1"/>
      <c r="T77" s="1"/>
      <c r="U77" s="1"/>
      <c r="V77" s="1"/>
      <c r="W77" s="1"/>
      <c r="X77" s="1"/>
      <c r="Y77" s="1"/>
      <c r="Z77" s="1"/>
      <c r="AA77" s="1"/>
      <c r="AB77" s="1"/>
      <c r="AC77" s="1"/>
      <c r="AD77" s="1"/>
      <c r="AE77" s="1"/>
      <c r="AF77" s="1"/>
    </row>
    <row r="78" spans="1:32" x14ac:dyDescent="0.2">
      <c r="A78" s="1"/>
      <c r="B78" s="1"/>
      <c r="C78" s="1"/>
      <c r="D78" s="1"/>
      <c r="E78" s="1"/>
      <c r="F78" s="45"/>
      <c r="G78" s="12"/>
      <c r="H78" s="44"/>
      <c r="I78" s="1"/>
      <c r="J78" s="1"/>
      <c r="K78" s="1"/>
      <c r="L78" s="1"/>
      <c r="M78" s="1"/>
      <c r="N78" s="2"/>
      <c r="O78" s="1"/>
      <c r="P78" s="1"/>
      <c r="Q78" s="1"/>
      <c r="R78" s="1"/>
      <c r="S78" s="1"/>
      <c r="T78" s="1"/>
      <c r="U78" s="1"/>
      <c r="V78" s="1"/>
      <c r="W78" s="1"/>
      <c r="X78" s="1"/>
      <c r="Y78" s="1"/>
      <c r="Z78" s="1"/>
      <c r="AA78" s="1"/>
      <c r="AB78" s="1"/>
      <c r="AC78" s="1"/>
      <c r="AD78" s="1"/>
      <c r="AE78" s="1"/>
      <c r="AF78" s="1"/>
    </row>
  </sheetData>
  <sheetProtection sheet="1"/>
  <mergeCells count="15">
    <mergeCell ref="Q39:AE39"/>
    <mergeCell ref="L73:M73"/>
    <mergeCell ref="G40:H40"/>
    <mergeCell ref="A9:H9"/>
    <mergeCell ref="H53:I53"/>
    <mergeCell ref="H52:I52"/>
    <mergeCell ref="G54:I54"/>
    <mergeCell ref="F61:F62"/>
    <mergeCell ref="A1:I2"/>
    <mergeCell ref="A8:H8"/>
    <mergeCell ref="B6:I6"/>
    <mergeCell ref="B7:F7"/>
    <mergeCell ref="H7:I7"/>
    <mergeCell ref="A4:I4"/>
    <mergeCell ref="C3:E3"/>
  </mergeCells>
  <phoneticPr fontId="2" type="noConversion"/>
  <dataValidations count="2">
    <dataValidation type="list" allowBlank="1" showInputMessage="1" showErrorMessage="1" sqref="C43">
      <formula1>$R$26:$R$36</formula1>
    </dataValidation>
    <dataValidation type="list" allowBlank="1" showInputMessage="1" showErrorMessage="1" sqref="C42">
      <formula1>$R$25:$R$28</formula1>
    </dataValidation>
  </dataValidations>
  <pageMargins left="0.66" right="0.47" top="0.65" bottom="0.6" header="0.5" footer="0.5"/>
  <pageSetup scale="69" orientation="portrait" horizontalDpi="429496729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_xludf.Clear">
                <anchor moveWithCells="1">
                  <from>
                    <xdr:col>0</xdr:col>
                    <xdr:colOff>390525</xdr:colOff>
                    <xdr:row>0</xdr:row>
                    <xdr:rowOff>57150</xdr:rowOff>
                  </from>
                  <to>
                    <xdr:col>0</xdr:col>
                    <xdr:colOff>1190625</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5"/>
  <sheetViews>
    <sheetView topLeftCell="A4" workbookViewId="0">
      <selection sqref="A1:G2"/>
    </sheetView>
  </sheetViews>
  <sheetFormatPr defaultRowHeight="12.75" x14ac:dyDescent="0.2"/>
  <cols>
    <col min="1" max="1" width="24.42578125" customWidth="1"/>
    <col min="7" max="7" width="41.42578125" customWidth="1"/>
    <col min="8" max="8" width="5" customWidth="1"/>
  </cols>
  <sheetData>
    <row r="1" spans="1:13" x14ac:dyDescent="0.2">
      <c r="A1" s="153" t="s">
        <v>62</v>
      </c>
      <c r="B1" s="153"/>
      <c r="C1" s="153"/>
      <c r="D1" s="153"/>
      <c r="E1" s="153"/>
      <c r="F1" s="153"/>
      <c r="G1" s="153"/>
    </row>
    <row r="2" spans="1:13" x14ac:dyDescent="0.2">
      <c r="A2" s="153"/>
      <c r="B2" s="153"/>
      <c r="C2" s="153"/>
      <c r="D2" s="153"/>
      <c r="E2" s="153"/>
      <c r="F2" s="153"/>
      <c r="G2" s="153"/>
    </row>
    <row r="4" spans="1:13" ht="15.75" x14ac:dyDescent="0.25">
      <c r="A4" s="79" t="s">
        <v>64</v>
      </c>
    </row>
    <row r="5" spans="1:13" ht="12.75" customHeight="1" x14ac:dyDescent="0.2">
      <c r="A5" s="141" t="s">
        <v>65</v>
      </c>
      <c r="B5" s="141"/>
      <c r="C5" s="141"/>
      <c r="D5" s="141"/>
      <c r="E5" s="141"/>
      <c r="F5" s="141"/>
      <c r="G5" s="141"/>
      <c r="H5" s="141"/>
    </row>
    <row r="6" spans="1:13" ht="12.75" customHeight="1" x14ac:dyDescent="0.2">
      <c r="A6" s="141" t="s">
        <v>66</v>
      </c>
      <c r="B6" s="141"/>
      <c r="C6" s="141"/>
      <c r="D6" s="141"/>
      <c r="E6" s="141"/>
      <c r="F6" s="141"/>
      <c r="G6" s="141"/>
      <c r="H6" s="141"/>
    </row>
    <row r="7" spans="1:13" ht="14.25" customHeight="1" x14ac:dyDescent="0.2">
      <c r="A7" s="141" t="s">
        <v>67</v>
      </c>
      <c r="B7" s="141"/>
      <c r="C7" s="141"/>
      <c r="D7" s="141"/>
      <c r="E7" s="141"/>
      <c r="F7" s="141"/>
      <c r="G7" s="141"/>
      <c r="H7" s="141"/>
    </row>
    <row r="8" spans="1:13" ht="12.75" customHeight="1" x14ac:dyDescent="0.2">
      <c r="A8" s="154"/>
      <c r="B8" s="154"/>
      <c r="C8" s="154"/>
      <c r="D8" s="154"/>
      <c r="E8" s="154"/>
      <c r="F8" s="154"/>
      <c r="G8" s="154"/>
      <c r="H8" s="154"/>
    </row>
    <row r="9" spans="1:13" ht="15.75" customHeight="1" x14ac:dyDescent="0.2">
      <c r="A9" s="141" t="s">
        <v>68</v>
      </c>
      <c r="B9" s="141"/>
      <c r="C9" s="141"/>
      <c r="D9" s="141"/>
      <c r="E9" s="141"/>
      <c r="F9" s="141"/>
      <c r="G9" s="141"/>
      <c r="H9" s="141"/>
    </row>
    <row r="10" spans="1:13" x14ac:dyDescent="0.2">
      <c r="A10" s="141" t="s">
        <v>69</v>
      </c>
      <c r="B10" s="141"/>
      <c r="C10" s="141"/>
      <c r="D10" s="141"/>
      <c r="E10" s="141"/>
      <c r="F10" s="141"/>
      <c r="G10" s="141"/>
      <c r="H10" s="141"/>
    </row>
    <row r="11" spans="1:13" x14ac:dyDescent="0.2">
      <c r="A11" s="141" t="s">
        <v>120</v>
      </c>
      <c r="B11" s="141"/>
      <c r="C11" s="141"/>
      <c r="D11" s="141"/>
      <c r="E11" s="141"/>
      <c r="F11" s="141"/>
      <c r="G11" s="141"/>
    </row>
    <row r="12" spans="1:13" x14ac:dyDescent="0.2">
      <c r="A12" s="141" t="s">
        <v>99</v>
      </c>
      <c r="B12" s="141"/>
      <c r="C12" s="141"/>
      <c r="D12" s="141"/>
      <c r="E12" s="141"/>
      <c r="F12" s="141"/>
      <c r="G12" s="141"/>
    </row>
    <row r="13" spans="1:13" x14ac:dyDescent="0.2">
      <c r="A13" s="141" t="s">
        <v>87</v>
      </c>
      <c r="B13" s="141"/>
      <c r="C13" s="141"/>
      <c r="D13" s="141"/>
      <c r="E13" s="141"/>
      <c r="F13" s="141"/>
      <c r="G13" s="141"/>
    </row>
    <row r="14" spans="1:13" ht="12.75" customHeight="1" x14ac:dyDescent="0.25">
      <c r="A14" s="141" t="s">
        <v>88</v>
      </c>
      <c r="B14" s="141"/>
      <c r="C14" s="141"/>
      <c r="D14" s="141"/>
      <c r="E14" s="141"/>
      <c r="F14" s="141"/>
      <c r="G14" s="141"/>
      <c r="M14" s="80"/>
    </row>
    <row r="15" spans="1:13" ht="12.75" customHeight="1" x14ac:dyDescent="0.25">
      <c r="A15" s="78"/>
      <c r="B15" s="78"/>
      <c r="C15" s="78"/>
      <c r="D15" s="78"/>
      <c r="E15" s="78"/>
      <c r="F15" s="78"/>
      <c r="G15" s="78"/>
      <c r="M15" s="80"/>
    </row>
    <row r="16" spans="1:13" ht="15.75" customHeight="1" x14ac:dyDescent="0.25">
      <c r="A16" s="79" t="s">
        <v>70</v>
      </c>
      <c r="M16" s="80"/>
    </row>
    <row r="17" spans="1:13" ht="9.75" customHeight="1" x14ac:dyDescent="0.25">
      <c r="A17" s="79"/>
      <c r="M17" s="80"/>
    </row>
    <row r="18" spans="1:13" ht="13.5" customHeight="1" x14ac:dyDescent="0.25">
      <c r="A18" s="158" t="s">
        <v>85</v>
      </c>
      <c r="B18" s="159"/>
      <c r="C18" s="160"/>
      <c r="M18" s="80"/>
    </row>
    <row r="19" spans="1:13" ht="13.5" customHeight="1" x14ac:dyDescent="0.25">
      <c r="A19" s="155" t="s">
        <v>86</v>
      </c>
      <c r="B19" s="156"/>
      <c r="C19" s="157"/>
      <c r="M19" s="80"/>
    </row>
    <row r="20" spans="1:13" ht="12" customHeight="1" x14ac:dyDescent="0.25">
      <c r="A20" s="79"/>
      <c r="M20" s="80"/>
    </row>
    <row r="21" spans="1:13" ht="15.75" customHeight="1" x14ac:dyDescent="0.25">
      <c r="A21" s="77" t="s">
        <v>63</v>
      </c>
      <c r="M21" s="80"/>
    </row>
    <row r="22" spans="1:13" ht="12.75" customHeight="1" x14ac:dyDescent="0.25">
      <c r="A22" s="97" t="s">
        <v>102</v>
      </c>
      <c r="B22" s="97"/>
      <c r="C22" s="97"/>
      <c r="D22" s="97"/>
      <c r="E22" s="97"/>
      <c r="F22" s="97"/>
      <c r="G22" s="97"/>
      <c r="M22" s="80"/>
    </row>
    <row r="23" spans="1:13" ht="12.75" customHeight="1" x14ac:dyDescent="0.25">
      <c r="A23" s="97" t="s">
        <v>127</v>
      </c>
      <c r="B23" s="97"/>
      <c r="C23" s="97"/>
      <c r="D23" s="97"/>
      <c r="E23" s="97"/>
      <c r="F23" s="97"/>
      <c r="G23" s="97"/>
      <c r="M23" s="80"/>
    </row>
    <row r="24" spans="1:13" ht="12.75" customHeight="1" x14ac:dyDescent="0.25">
      <c r="A24" s="97" t="s">
        <v>128</v>
      </c>
      <c r="B24" s="97"/>
      <c r="C24" s="97"/>
      <c r="D24" s="97"/>
      <c r="E24" s="97"/>
      <c r="F24" s="97"/>
      <c r="G24" s="97"/>
      <c r="M24" s="80"/>
    </row>
    <row r="25" spans="1:13" ht="12.75" customHeight="1" x14ac:dyDescent="0.25">
      <c r="A25" s="97" t="s">
        <v>142</v>
      </c>
      <c r="B25" s="97"/>
      <c r="C25" s="97"/>
      <c r="D25" s="97"/>
      <c r="E25" s="97"/>
      <c r="F25" s="97"/>
      <c r="G25" s="97"/>
      <c r="M25" s="80"/>
    </row>
    <row r="26" spans="1:13" ht="12.75" customHeight="1" x14ac:dyDescent="0.25">
      <c r="A26" t="s">
        <v>143</v>
      </c>
      <c r="B26" s="97"/>
      <c r="C26" s="97"/>
      <c r="D26" s="97"/>
      <c r="E26" s="97"/>
      <c r="F26" s="97"/>
      <c r="G26" s="97"/>
      <c r="M26" s="80"/>
    </row>
    <row r="27" spans="1:13" ht="24" customHeight="1" x14ac:dyDescent="0.25">
      <c r="A27" s="101" t="s">
        <v>103</v>
      </c>
      <c r="B27" s="97"/>
      <c r="C27" s="97"/>
      <c r="D27" s="97"/>
      <c r="E27" s="97"/>
      <c r="F27" s="97"/>
      <c r="G27" s="97"/>
      <c r="M27" s="80"/>
    </row>
    <row r="28" spans="1:13" ht="12" customHeight="1" x14ac:dyDescent="0.25">
      <c r="M28" s="80"/>
    </row>
    <row r="29" spans="1:13" ht="12" customHeight="1" x14ac:dyDescent="0.25">
      <c r="M29" s="80"/>
    </row>
    <row r="30" spans="1:13" ht="15.75" x14ac:dyDescent="0.25">
      <c r="A30" s="77" t="s">
        <v>71</v>
      </c>
      <c r="M30" s="80"/>
    </row>
    <row r="31" spans="1:13" x14ac:dyDescent="0.2">
      <c r="A31" s="141" t="s">
        <v>72</v>
      </c>
      <c r="B31" s="141"/>
      <c r="C31" s="141"/>
      <c r="D31" s="141"/>
      <c r="E31" s="141"/>
      <c r="F31" s="141"/>
      <c r="G31" s="141"/>
    </row>
    <row r="32" spans="1:13" x14ac:dyDescent="0.2">
      <c r="A32" s="141" t="s">
        <v>73</v>
      </c>
      <c r="B32" s="141"/>
      <c r="C32" s="141"/>
      <c r="D32" s="141"/>
      <c r="E32" s="141"/>
      <c r="F32" s="141"/>
      <c r="G32" s="141"/>
    </row>
    <row r="33" spans="1:7" x14ac:dyDescent="0.2">
      <c r="A33" s="141" t="s">
        <v>129</v>
      </c>
      <c r="B33" s="141"/>
      <c r="C33" s="141"/>
      <c r="D33" s="141"/>
      <c r="E33" s="141"/>
      <c r="F33" s="141"/>
      <c r="G33" s="141"/>
    </row>
    <row r="34" spans="1:7" x14ac:dyDescent="0.2">
      <c r="A34" s="141" t="s">
        <v>130</v>
      </c>
      <c r="B34" s="141"/>
      <c r="C34" s="141"/>
      <c r="D34" s="141"/>
      <c r="E34" s="141"/>
      <c r="F34" s="141"/>
      <c r="G34" s="141"/>
    </row>
    <row r="35" spans="1:7" x14ac:dyDescent="0.2">
      <c r="A35" s="141" t="s">
        <v>131</v>
      </c>
      <c r="B35" s="141"/>
      <c r="C35" s="141"/>
      <c r="D35" s="141"/>
      <c r="E35" s="141"/>
      <c r="F35" s="141"/>
      <c r="G35" s="141"/>
    </row>
    <row r="36" spans="1:7" x14ac:dyDescent="0.2">
      <c r="A36" s="78"/>
      <c r="B36" s="78"/>
      <c r="C36" s="78"/>
      <c r="D36" s="78"/>
      <c r="E36" s="78"/>
      <c r="F36" s="78"/>
      <c r="G36" s="78"/>
    </row>
    <row r="38" spans="1:7" x14ac:dyDescent="0.2">
      <c r="A38" s="77" t="s">
        <v>94</v>
      </c>
    </row>
    <row r="39" spans="1:7" x14ac:dyDescent="0.2">
      <c r="A39" s="141" t="s">
        <v>78</v>
      </c>
      <c r="B39" s="141"/>
      <c r="C39" s="141"/>
      <c r="D39" s="141"/>
      <c r="E39" s="141"/>
      <c r="F39" s="141"/>
      <c r="G39" s="141"/>
    </row>
    <row r="40" spans="1:7" x14ac:dyDescent="0.2">
      <c r="A40" s="141" t="s">
        <v>75</v>
      </c>
      <c r="B40" s="141"/>
      <c r="C40" s="141"/>
      <c r="D40" s="141"/>
      <c r="E40" s="141"/>
      <c r="F40" s="141"/>
      <c r="G40" s="141"/>
    </row>
    <row r="41" spans="1:7" x14ac:dyDescent="0.2">
      <c r="A41" s="141" t="s">
        <v>132</v>
      </c>
      <c r="B41" s="141"/>
      <c r="C41" s="141"/>
      <c r="D41" s="141"/>
      <c r="E41" s="141"/>
      <c r="F41" s="141"/>
      <c r="G41" s="141"/>
    </row>
    <row r="42" spans="1:7" x14ac:dyDescent="0.2">
      <c r="A42" s="141" t="s">
        <v>145</v>
      </c>
      <c r="B42" s="141"/>
      <c r="C42" s="141"/>
      <c r="D42" s="141"/>
      <c r="E42" s="141"/>
      <c r="F42" s="141"/>
      <c r="G42" s="141"/>
    </row>
    <row r="43" spans="1:7" x14ac:dyDescent="0.2">
      <c r="A43" s="78" t="s">
        <v>144</v>
      </c>
      <c r="B43" s="78"/>
      <c r="C43" s="78"/>
      <c r="D43" s="78"/>
      <c r="E43" s="78"/>
      <c r="F43" s="78"/>
      <c r="G43" s="78"/>
    </row>
    <row r="44" spans="1:7" x14ac:dyDescent="0.2">
      <c r="A44" s="78" t="s">
        <v>146</v>
      </c>
      <c r="B44" s="78"/>
      <c r="C44" s="78"/>
      <c r="D44" s="78"/>
      <c r="E44" s="78"/>
      <c r="F44" s="78"/>
      <c r="G44" s="78"/>
    </row>
    <row r="46" spans="1:7" x14ac:dyDescent="0.2">
      <c r="A46" s="77" t="s">
        <v>95</v>
      </c>
    </row>
    <row r="47" spans="1:7" x14ac:dyDescent="0.2">
      <c r="A47" s="141" t="s">
        <v>98</v>
      </c>
      <c r="B47" s="141"/>
      <c r="C47" s="141"/>
      <c r="D47" s="141"/>
      <c r="E47" s="141"/>
      <c r="F47" s="141"/>
      <c r="G47" s="141"/>
    </row>
    <row r="48" spans="1:7" x14ac:dyDescent="0.2">
      <c r="A48" s="141" t="s">
        <v>82</v>
      </c>
      <c r="B48" s="141"/>
      <c r="C48" s="141"/>
      <c r="D48" s="141"/>
      <c r="E48" s="141"/>
      <c r="F48" s="141"/>
      <c r="G48" s="141"/>
    </row>
    <row r="49" spans="1:7" x14ac:dyDescent="0.2">
      <c r="A49" s="141" t="s">
        <v>133</v>
      </c>
      <c r="B49" s="141"/>
      <c r="C49" s="141"/>
      <c r="D49" s="141"/>
      <c r="E49" s="141"/>
      <c r="F49" s="141"/>
      <c r="G49" s="141"/>
    </row>
    <row r="50" spans="1:7" x14ac:dyDescent="0.2">
      <c r="A50" t="s">
        <v>134</v>
      </c>
    </row>
    <row r="51" spans="1:7" x14ac:dyDescent="0.2">
      <c r="A51" t="s">
        <v>135</v>
      </c>
    </row>
    <row r="53" spans="1:7" x14ac:dyDescent="0.2">
      <c r="A53" s="77" t="s">
        <v>96</v>
      </c>
    </row>
    <row r="54" spans="1:7" x14ac:dyDescent="0.2">
      <c r="A54" s="152" t="s">
        <v>97</v>
      </c>
      <c r="B54" s="152"/>
      <c r="C54" s="152"/>
      <c r="D54" s="152"/>
      <c r="E54" s="152"/>
      <c r="F54" s="152"/>
      <c r="G54" s="152"/>
    </row>
    <row r="55" spans="1:7" x14ac:dyDescent="0.2">
      <c r="A55" t="s">
        <v>136</v>
      </c>
    </row>
    <row r="56" spans="1:7" x14ac:dyDescent="0.2">
      <c r="A56" t="s">
        <v>137</v>
      </c>
    </row>
    <row r="57" spans="1:7" x14ac:dyDescent="0.2">
      <c r="A57" s="141" t="s">
        <v>74</v>
      </c>
      <c r="B57" s="141"/>
      <c r="C57" s="141"/>
      <c r="D57" s="141"/>
      <c r="E57" s="141"/>
      <c r="F57" s="141"/>
      <c r="G57" s="141"/>
    </row>
    <row r="58" spans="1:7" x14ac:dyDescent="0.2">
      <c r="A58" s="78" t="s">
        <v>76</v>
      </c>
      <c r="B58" s="78"/>
      <c r="C58" s="78"/>
      <c r="D58" s="78"/>
      <c r="E58" s="78"/>
      <c r="F58" s="78"/>
      <c r="G58" s="78"/>
    </row>
    <row r="59" spans="1:7" x14ac:dyDescent="0.2">
      <c r="A59" t="s">
        <v>138</v>
      </c>
    </row>
    <row r="60" spans="1:7" x14ac:dyDescent="0.2">
      <c r="A60" t="s">
        <v>139</v>
      </c>
    </row>
    <row r="61" spans="1:7" x14ac:dyDescent="0.2">
      <c r="A61" s="77"/>
    </row>
    <row r="62" spans="1:7" x14ac:dyDescent="0.2">
      <c r="A62" s="141"/>
      <c r="B62" s="141"/>
      <c r="C62" s="141"/>
      <c r="D62" s="141"/>
      <c r="E62" s="141"/>
      <c r="F62" s="141"/>
      <c r="G62" s="141"/>
    </row>
    <row r="63" spans="1:7" x14ac:dyDescent="0.2">
      <c r="A63" s="141"/>
      <c r="B63" s="141"/>
      <c r="C63" s="141"/>
      <c r="D63" s="141"/>
      <c r="E63" s="141"/>
      <c r="F63" s="141"/>
      <c r="G63" s="141"/>
    </row>
    <row r="64" spans="1:7" x14ac:dyDescent="0.2">
      <c r="A64" s="141"/>
      <c r="B64" s="141"/>
      <c r="C64" s="141"/>
      <c r="D64" s="141"/>
      <c r="E64" s="141"/>
      <c r="F64" s="141"/>
      <c r="G64" s="141"/>
    </row>
    <row r="65" spans="1:7" x14ac:dyDescent="0.2">
      <c r="A65" s="141"/>
      <c r="B65" s="141"/>
      <c r="C65" s="141"/>
      <c r="D65" s="141"/>
      <c r="E65" s="141"/>
      <c r="F65" s="141"/>
      <c r="G65" s="141"/>
    </row>
  </sheetData>
  <sheetProtection sheet="1"/>
  <mergeCells count="31">
    <mergeCell ref="A1:G2"/>
    <mergeCell ref="A5:H5"/>
    <mergeCell ref="A6:H6"/>
    <mergeCell ref="A7:H7"/>
    <mergeCell ref="A31:G31"/>
    <mergeCell ref="A8:H8"/>
    <mergeCell ref="A19:C19"/>
    <mergeCell ref="A11:G11"/>
    <mergeCell ref="A18:C18"/>
    <mergeCell ref="A64:G64"/>
    <mergeCell ref="A14:G14"/>
    <mergeCell ref="A48:G48"/>
    <mergeCell ref="A49:G49"/>
    <mergeCell ref="A32:G32"/>
    <mergeCell ref="A33:G33"/>
    <mergeCell ref="A47:G47"/>
    <mergeCell ref="A9:H9"/>
    <mergeCell ref="A41:G41"/>
    <mergeCell ref="A10:H10"/>
    <mergeCell ref="A12:G12"/>
    <mergeCell ref="A13:G13"/>
    <mergeCell ref="A42:G42"/>
    <mergeCell ref="A34:G34"/>
    <mergeCell ref="A65:G65"/>
    <mergeCell ref="A62:G62"/>
    <mergeCell ref="A63:G63"/>
    <mergeCell ref="A35:G35"/>
    <mergeCell ref="A57:G57"/>
    <mergeCell ref="A39:G39"/>
    <mergeCell ref="A40:G40"/>
    <mergeCell ref="A54:G54"/>
  </mergeCells>
  <phoneticPr fontId="2" type="noConversion"/>
  <pageMargins left="0.75" right="0.75" top="1" bottom="1" header="0.5" footer="0.5"/>
  <pageSetup scale="78" orientation="portrait" horizontalDpi="4294967294"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x14ac:dyDescent="0.2"/>
  <sheetData/>
  <phoneticPr fontId="2"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0B189A61C87742A2CEF89E59A4C877" ma:contentTypeVersion="1" ma:contentTypeDescription="Create a new document." ma:contentTypeScope="" ma:versionID="1e8609944551235cc6b0136c5c898775">
  <xsd:schema xmlns:xsd="http://www.w3.org/2001/XMLSchema" xmlns:xs="http://www.w3.org/2001/XMLSchema" xmlns:p="http://schemas.microsoft.com/office/2006/metadata/properties" targetNamespace="http://schemas.microsoft.com/office/2006/metadata/properties" ma:root="true" ma:fieldsID="8f3f958499763858251c2bd8b2f76aa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4274B7D-75C4-44D3-A685-379C9785A4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8C50E20A-0EB6-4A47-8086-7FA5B323F71B}">
  <ds:schemaRefs>
    <ds:schemaRef ds:uri="http://schemas.microsoft.com/sharepoint/v3/contenttype/forms"/>
  </ds:schemaRefs>
</ds:datastoreItem>
</file>

<file path=customXml/itemProps3.xml><?xml version="1.0" encoding="utf-8"?>
<ds:datastoreItem xmlns:ds="http://schemas.openxmlformats.org/officeDocument/2006/customXml" ds:itemID="{741507E5-FAFB-400B-B9F0-3935D40D0F4F}">
  <ds:schemaRefs>
    <ds:schemaRef ds:uri="http://schemas.microsoft.com/office/2006/metadata/longProperties"/>
  </ds:schemaRefs>
</ds:datastoreItem>
</file>

<file path=customXml/itemProps4.xml><?xml version="1.0" encoding="utf-8"?>
<ds:datastoreItem xmlns:ds="http://schemas.openxmlformats.org/officeDocument/2006/customXml" ds:itemID="{C67DD280-B26E-42D9-A9D2-9B10EAAE6DDD}">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purl.org/dc/dcmitype/"/>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Calculations</vt:lpstr>
      <vt:lpstr>Instructions</vt:lpstr>
      <vt:lpstr>Sheet3</vt:lpstr>
      <vt:lpstr>Calculations!Print_Area</vt:lpstr>
      <vt:lpstr>Instructions!Print_Area</vt:lpstr>
    </vt:vector>
  </TitlesOfParts>
  <Company>USDA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sharyl.walker</dc:creator>
  <cp:lastModifiedBy>Schaeffer, Anton - NRCS, Harrisonburg, VA</cp:lastModifiedBy>
  <cp:lastPrinted>2009-11-18T11:49:48Z</cp:lastPrinted>
  <dcterms:created xsi:type="dcterms:W3CDTF">2009-03-05T13:48:10Z</dcterms:created>
  <dcterms:modified xsi:type="dcterms:W3CDTF">2014-04-11T16:47:41Z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splay_urn:schemas-microsoft-com:office:office#Editor">
    <vt:lpwstr>Cooke, John - NRCS, Richmond, VA</vt:lpwstr>
  </property>
  <property fmtid="{D5CDD505-2E9C-101B-9397-08002B2CF9AE}" pid="3" name="TemplateUrl">
    <vt:lpwstr/>
  </property>
  <property fmtid="{D5CDD505-2E9C-101B-9397-08002B2CF9AE}" pid="4" name="xd_ProgID">
    <vt:lpwstr/>
  </property>
  <property fmtid="{D5CDD505-2E9C-101B-9397-08002B2CF9AE}" pid="5" name="display_urn:schemas-microsoft-com:office:office#Author">
    <vt:lpwstr>Cooke, John - NRCS, Richmond, VA</vt:lpwstr>
  </property>
  <property fmtid="{D5CDD505-2E9C-101B-9397-08002B2CF9AE}" pid="6" name="Order">
    <vt:lpwstr>24700.0000000000</vt:lpwstr>
  </property>
  <property fmtid="{D5CDD505-2E9C-101B-9397-08002B2CF9AE}" pid="7" name="_SourceUrl">
    <vt:lpwstr/>
  </property>
  <property fmtid="{D5CDD505-2E9C-101B-9397-08002B2CF9AE}" pid="8" name="_SharedFileIndex">
    <vt:lpwstr/>
  </property>
</Properties>
</file>