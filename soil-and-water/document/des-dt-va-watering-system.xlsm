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drawings/drawing3.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225"/>
  <workbookPr codeName="ThisWorkbook"/>
  <mc:AlternateContent xmlns:mc="http://schemas.openxmlformats.org/markup-compatibility/2006">
    <mc:Choice Requires="x15">
      <x15ac:absPath xmlns:x15ac="http://schemas.microsoft.com/office/spreadsheetml/2010/11/ac" url="C:\Users\iowan\Downloads\"/>
    </mc:Choice>
  </mc:AlternateContent>
  <xr:revisionPtr revIDLastSave="0" documentId="8_{889802C7-B43F-4438-A55D-597238C5B385}" xr6:coauthVersionLast="47" xr6:coauthVersionMax="47" xr10:uidLastSave="{00000000-0000-0000-0000-000000000000}"/>
  <bookViews>
    <workbookView xWindow="2388" yWindow="864" windowWidth="16176" windowHeight="11340" xr2:uid="{00000000-000D-0000-FFFF-FFFF00000000}"/>
  </bookViews>
  <sheets>
    <sheet name="Pressure System" sheetId="6" r:id="rId1"/>
    <sheet name="Public Water Connection" sheetId="7" r:id="rId2"/>
    <sheet name="Gravity System" sheetId="5" r:id="rId3"/>
    <sheet name="January 2022 Update Notes" sheetId="8" r:id="rId4"/>
  </sheets>
  <definedNames>
    <definedName name="_xlnm.Print_Area" localSheetId="2">'Gravity System'!$A$1:$P$59</definedName>
    <definedName name="_xlnm.Print_Area" localSheetId="0">'Pressure System'!$B$1:$P$58</definedName>
    <definedName name="_xlnm.Print_Area" localSheetId="1">'Public Water Connection'!$B$1:$P$49</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Z25" i="5" l="1"/>
  <c r="AZ25" i="7"/>
  <c r="AZ25" i="6"/>
  <c r="BL20" i="5"/>
  <c r="BM23" i="5"/>
  <c r="BM22" i="5"/>
  <c r="BM21" i="5"/>
  <c r="BM20" i="5"/>
  <c r="BL23" i="5"/>
  <c r="BL22" i="5"/>
  <c r="BL21" i="5"/>
  <c r="BK23" i="5"/>
  <c r="BK22" i="5"/>
  <c r="BK21" i="5"/>
  <c r="BK20" i="5"/>
  <c r="BO23" i="5"/>
  <c r="BO22" i="5"/>
  <c r="BO21" i="5"/>
  <c r="BO20" i="5"/>
  <c r="BN23" i="5"/>
  <c r="BN22" i="5"/>
  <c r="BN21" i="5"/>
  <c r="BN20" i="5"/>
  <c r="J23" i="7"/>
  <c r="J23" i="5"/>
  <c r="J25" i="5"/>
  <c r="J23" i="6"/>
  <c r="BX23" i="6"/>
  <c r="BX22" i="6"/>
  <c r="BX21" i="6"/>
  <c r="BX20" i="6"/>
  <c r="E42" i="6"/>
  <c r="G43" i="6"/>
  <c r="L53" i="6"/>
  <c r="G56" i="6"/>
  <c r="N51" i="5"/>
  <c r="N50" i="5"/>
  <c r="N49" i="5"/>
  <c r="N48" i="5"/>
  <c r="N47" i="5"/>
  <c r="N46" i="5"/>
  <c r="N45" i="5"/>
  <c r="N44" i="5"/>
  <c r="N43" i="5"/>
  <c r="N42" i="5"/>
  <c r="E22" i="7"/>
  <c r="J24" i="6"/>
  <c r="L40" i="7"/>
  <c r="L42" i="7"/>
  <c r="N42" i="7"/>
  <c r="E42" i="7"/>
  <c r="O24" i="7"/>
  <c r="O25" i="7"/>
  <c r="E40" i="7"/>
  <c r="N43" i="7"/>
  <c r="J35" i="7"/>
  <c r="J30" i="7"/>
  <c r="E15" i="7"/>
  <c r="J14" i="7"/>
  <c r="I51" i="5"/>
  <c r="I50" i="5"/>
  <c r="I49" i="5"/>
  <c r="I48" i="5"/>
  <c r="I47" i="5"/>
  <c r="I46" i="5"/>
  <c r="I45" i="5"/>
  <c r="I44" i="5"/>
  <c r="I43" i="5"/>
  <c r="I42" i="5"/>
  <c r="L55" i="6"/>
  <c r="N55" i="6"/>
  <c r="G42" i="6"/>
  <c r="J30" i="6"/>
  <c r="E15" i="5"/>
  <c r="O22" i="5"/>
  <c r="E15" i="6"/>
  <c r="J14" i="6"/>
  <c r="E22" i="6"/>
  <c r="J25" i="6"/>
  <c r="O27" i="6"/>
  <c r="O28" i="6"/>
  <c r="E40" i="6"/>
  <c r="J35" i="6"/>
  <c r="O13" i="6"/>
  <c r="D45" i="5"/>
  <c r="D43" i="5"/>
  <c r="D42" i="5"/>
  <c r="D44" i="5"/>
  <c r="J30" i="5"/>
  <c r="J35" i="5"/>
  <c r="O28" i="5"/>
  <c r="O25" i="5"/>
  <c r="N13" i="5"/>
  <c r="M42" i="5"/>
  <c r="M43" i="5"/>
  <c r="M44" i="5"/>
  <c r="M45" i="5"/>
  <c r="D46" i="5"/>
  <c r="M46" i="5"/>
  <c r="D47" i="5"/>
  <c r="M47" i="5"/>
  <c r="D48" i="5"/>
  <c r="G48" i="5"/>
  <c r="H48" i="5"/>
  <c r="M48" i="5"/>
  <c r="D49" i="5"/>
  <c r="G49" i="5"/>
  <c r="H49" i="5"/>
  <c r="M49" i="5"/>
  <c r="D50" i="5"/>
  <c r="G50" i="5"/>
  <c r="H50" i="5"/>
  <c r="M50" i="5"/>
  <c r="D51" i="5"/>
  <c r="G51" i="5"/>
  <c r="H51" i="5"/>
  <c r="M51" i="5"/>
  <c r="G47" i="5"/>
  <c r="G45" i="5"/>
  <c r="J31" i="6"/>
  <c r="J32" i="6"/>
  <c r="E41" i="6"/>
  <c r="G41" i="6"/>
  <c r="G46" i="5"/>
  <c r="I14" i="5"/>
  <c r="E22" i="5"/>
  <c r="O29" i="5"/>
  <c r="O30" i="5"/>
  <c r="J24" i="5"/>
  <c r="J25" i="7"/>
  <c r="J31" i="7"/>
  <c r="J24" i="7"/>
  <c r="J26" i="7"/>
  <c r="N44" i="7"/>
  <c r="O24" i="5"/>
  <c r="G42" i="5"/>
  <c r="G43" i="5"/>
  <c r="G44" i="5"/>
  <c r="G40" i="6"/>
  <c r="J26" i="6"/>
  <c r="L46" i="6"/>
  <c r="L48" i="6"/>
  <c r="H47" i="5"/>
  <c r="H42" i="5"/>
  <c r="H45" i="5"/>
  <c r="H46" i="5"/>
  <c r="H44" i="5"/>
  <c r="H43" i="5"/>
  <c r="E44" i="6"/>
  <c r="L40" i="6"/>
  <c r="G54" i="6"/>
  <c r="J26" i="5"/>
  <c r="E41" i="7"/>
  <c r="E44" i="7"/>
  <c r="E47" i="7"/>
  <c r="J32" i="7"/>
  <c r="O33" i="5"/>
  <c r="O35" i="5"/>
  <c r="G44" i="6"/>
  <c r="L41" i="6"/>
  <c r="N56" i="6"/>
  <c r="N57" i="6"/>
  <c r="G46" i="6"/>
  <c r="E46" i="6"/>
</calcChain>
</file>

<file path=xl/sharedStrings.xml><?xml version="1.0" encoding="utf-8"?>
<sst xmlns="http://schemas.openxmlformats.org/spreadsheetml/2006/main" count="530" uniqueCount="268">
  <si>
    <t>1"</t>
  </si>
  <si>
    <t>2"</t>
  </si>
  <si>
    <t>psi</t>
  </si>
  <si>
    <t>Assisted By:</t>
  </si>
  <si>
    <t>Date:</t>
  </si>
  <si>
    <t>Avg. Peak Demand</t>
  </si>
  <si>
    <t>Source Flow Rate</t>
  </si>
  <si>
    <t>OR</t>
  </si>
  <si>
    <t>T1</t>
  </si>
  <si>
    <t>T2</t>
  </si>
  <si>
    <t>T3</t>
  </si>
  <si>
    <t>ft</t>
  </si>
  <si>
    <t>Pipe dia. (in.)</t>
  </si>
  <si>
    <t>Customer:</t>
  </si>
  <si>
    <t>Maximum Flow Rate (gpm)</t>
  </si>
  <si>
    <t>Static Pressure (psi)</t>
  </si>
  <si>
    <t>Estimated Water Surface Elev. (ft)</t>
  </si>
  <si>
    <t>Trough Ground Elev. (ft)</t>
  </si>
  <si>
    <t>Kp (head loss coefficient):</t>
  </si>
  <si>
    <t>ft.</t>
  </si>
  <si>
    <t>in.</t>
  </si>
  <si>
    <t>sq. ft.</t>
  </si>
  <si>
    <t>Pipe cross-sectional area:</t>
  </si>
  <si>
    <t>Head from Upper Trough (ft)</t>
  </si>
  <si>
    <t>Pipe Length from Trough above (ft)</t>
  </si>
  <si>
    <t>T4</t>
  </si>
  <si>
    <t>T5</t>
  </si>
  <si>
    <t>T6</t>
  </si>
  <si>
    <t>T7</t>
  </si>
  <si>
    <t>T8</t>
  </si>
  <si>
    <t>T9</t>
  </si>
  <si>
    <t>T10</t>
  </si>
  <si>
    <t>T1-T2</t>
  </si>
  <si>
    <t>T2-T3</t>
  </si>
  <si>
    <t>T3-T4</t>
  </si>
  <si>
    <t>T4-T5</t>
  </si>
  <si>
    <t>T5-T6</t>
  </si>
  <si>
    <t>T6-T7</t>
  </si>
  <si>
    <t>T7-T8</t>
  </si>
  <si>
    <t>T8-T9</t>
  </si>
  <si>
    <t>T9-T10</t>
  </si>
  <si>
    <t>Sub-System</t>
  </si>
  <si>
    <t>TROUGH ELEVATIONS:</t>
  </si>
  <si>
    <t>Trough water surface elevation is assumed to be 2 ft above ground elevation.</t>
  </si>
  <si>
    <t>gpm</t>
  </si>
  <si>
    <t>County:</t>
  </si>
  <si>
    <t>Ground elevation of water source:</t>
  </si>
  <si>
    <t>Trough type(s):</t>
  </si>
  <si>
    <t>Pipe length to reservoir:</t>
  </si>
  <si>
    <t>Friction loss/100':</t>
  </si>
  <si>
    <t>Total friction loss:</t>
  </si>
  <si>
    <t>Elevation head:</t>
  </si>
  <si>
    <t>Dynamic Head Calculations:</t>
  </si>
  <si>
    <t>fps</t>
  </si>
  <si>
    <t>Velocity check (&lt;5 fps):</t>
  </si>
  <si>
    <t>Total Daily Demand:</t>
  </si>
  <si>
    <t>Number of Animals:</t>
  </si>
  <si>
    <t>Water demand/animal/day:</t>
  </si>
  <si>
    <t>gpd</t>
  </si>
  <si>
    <t>See Design Note for watering recommendations for various types of livestock.</t>
  </si>
  <si>
    <t>Type of livestock:</t>
  </si>
  <si>
    <t>Add 10% for slope, fittings:</t>
  </si>
  <si>
    <t>Note:  If total friction loss exceeds 23.1 ft (10 psi), consider choosing a larger pipe diameter.</t>
  </si>
  <si>
    <t>Average peak demand:</t>
  </si>
  <si>
    <t>Alternate peak demand:</t>
  </si>
  <si>
    <t>events</t>
  </si>
  <si>
    <t>Source flow rate:</t>
  </si>
  <si>
    <t>Source daily yield:</t>
  </si>
  <si>
    <t>Dynamic Head added to pump by pressure component of system:</t>
  </si>
  <si>
    <t>CALCULATIONS FOR FLOAT-VALVE SYSTEMS:</t>
  </si>
  <si>
    <t>a) Total Daily Water Demand</t>
  </si>
  <si>
    <t>b) Daily Peak Water Demand</t>
  </si>
  <si>
    <t>c) Evaluate Source</t>
  </si>
  <si>
    <t>1) Assistance Information</t>
  </si>
  <si>
    <t>2) Water Budget</t>
  </si>
  <si>
    <t>3) Design Parameters</t>
  </si>
  <si>
    <t>Pipe pressure rating:</t>
  </si>
  <si>
    <t>a) Trough Information</t>
  </si>
  <si>
    <t>72% of rating (See VA CPS 516):</t>
  </si>
  <si>
    <t>See Design Note for considerations for estimating peak demand.</t>
  </si>
  <si>
    <t>c)  Gravity System Parameters</t>
  </si>
  <si>
    <t>d) If Pumping to a Reservoir:</t>
  </si>
  <si>
    <t>Friction + elev. head:</t>
  </si>
  <si>
    <t>Pumping duration required to meet daily demand:</t>
  </si>
  <si>
    <t>4) Flow and Static Pressure Checks</t>
  </si>
  <si>
    <t>ft/100 ft</t>
  </si>
  <si>
    <t>Plastic pipe nominal diameter:</t>
  </si>
  <si>
    <t>Plastic pipe actual diameter:</t>
  </si>
  <si>
    <t>Typical values range from 75-140 psi.  Check manufacturer's recommendations.</t>
  </si>
  <si>
    <t>Reservoir gnd elev or spring box outlet elev:</t>
  </si>
  <si>
    <t>Troughs are connected in series by way of their overflow pipes.  Pipe length for Trough 1 is measured from the spring box.  Subsequent lengths are measured from the previous trough.</t>
  </si>
  <si>
    <t>Spring box - T1</t>
  </si>
  <si>
    <t>Design flow rate:</t>
  </si>
  <si>
    <t>Select flow rate to troughs as guided by Step 2 and Design Note.  Typical design flow rates are:  8 gpm for frost-free troughs; 5 gpm for storage troughs.</t>
  </si>
  <si>
    <t>Trough Types</t>
  </si>
  <si>
    <t>T1: Freeze-Proof</t>
  </si>
  <si>
    <t>T1: Storage</t>
  </si>
  <si>
    <t>T2: Freeze-Proof</t>
  </si>
  <si>
    <t>T2: Storage</t>
  </si>
  <si>
    <t>T3: Freeze-Proof</t>
  </si>
  <si>
    <t>T3: Storage</t>
  </si>
  <si>
    <t>T4: Freeze-Proof</t>
  </si>
  <si>
    <t>T4: Storage</t>
  </si>
  <si>
    <t>T5: Freeze-Proof</t>
  </si>
  <si>
    <t>T5: Storage</t>
  </si>
  <si>
    <t>T6: Freeze-Proof</t>
  </si>
  <si>
    <t>T6: Storage</t>
  </si>
  <si>
    <t>T7: Freeze-Proof</t>
  </si>
  <si>
    <t>T7: Storage</t>
  </si>
  <si>
    <t>T8: Freeze-Proof</t>
  </si>
  <si>
    <t>T8: Storage</t>
  </si>
  <si>
    <t>T9: Freeze-Proof</t>
  </si>
  <si>
    <t>T9: Storage</t>
  </si>
  <si>
    <t>T10: Storage</t>
  </si>
  <si>
    <t>Troughs are tee-ed off from the main line, with flow to each trough controlled by a float valve.  Pipe length is measured from the reservoir or spring box.</t>
  </si>
  <si>
    <t>Pipe Length from Reservoir or Spring Box to Trough (ft)</t>
  </si>
  <si>
    <t>Enter trough elevations from survey data.  For cascade-type systems, enter trough elevations in order from highest to lowest.</t>
  </si>
  <si>
    <t xml:space="preserve">  </t>
  </si>
  <si>
    <t>Head from Reservoir or Spring Box (ft)</t>
  </si>
  <si>
    <t>Maximum float valve pressure, if applicable:</t>
  </si>
  <si>
    <t>Minimum float valve pressure, if applicable:</t>
  </si>
  <si>
    <t>T10:Freeze-Proof</t>
  </si>
  <si>
    <t>Q = A * SQRT(2*32.2*h / (Kp*L) ) * 7.5 * 60 * efficiency   (gpm)</t>
  </si>
  <si>
    <t>Max. Flow Rate (gpm)</t>
  </si>
  <si>
    <t xml:space="preserve">Project Notes:   </t>
  </si>
  <si>
    <t>Static pressure in pipe (check against max. allowed):</t>
  </si>
  <si>
    <t>Reservoir bottom (elev for computing head):</t>
  </si>
  <si>
    <t>See Design Note or EFH Ch. 12 for guidance on pipe size selection.</t>
  </si>
  <si>
    <t xml:space="preserve"> </t>
  </si>
  <si>
    <t>Choices for Design Peak Flow</t>
  </si>
  <si>
    <t>Alternate Peak Demand</t>
  </si>
  <si>
    <t>1 1/4"</t>
  </si>
  <si>
    <t>1 1/2"</t>
  </si>
  <si>
    <t>= choice</t>
  </si>
  <si>
    <t>Friction loss/100 ft</t>
  </si>
  <si>
    <t>ft./100 ft.</t>
  </si>
  <si>
    <t>Elevation of highest point in system:</t>
  </si>
  <si>
    <t>feet</t>
  </si>
  <si>
    <t>Low pressure switch setting:</t>
  </si>
  <si>
    <t>psi (Minimum is 20 psi.)</t>
  </si>
  <si>
    <t>Friction loss:</t>
  </si>
  <si>
    <t>High pressure switch setting:</t>
  </si>
  <si>
    <t>psi (Max. is usually 80 psi.)</t>
  </si>
  <si>
    <t xml:space="preserve"> gpm   x</t>
  </si>
  <si>
    <t>Minimum pumping time of</t>
  </si>
  <si>
    <t>minute  =</t>
  </si>
  <si>
    <t>gallons</t>
  </si>
  <si>
    <t>Low pressure switch setting =</t>
  </si>
  <si>
    <t>Pipe length to farthest watering point:</t>
  </si>
  <si>
    <t>Add 10% for slope and fittings:</t>
  </si>
  <si>
    <t>Elevation difference:</t>
  </si>
  <si>
    <t>4) Pump and Pressure Tank Design</t>
  </si>
  <si>
    <t xml:space="preserve">feet </t>
  </si>
  <si>
    <t>Maximum float valve pressure:</t>
  </si>
  <si>
    <t>Design pumping rate of</t>
  </si>
  <si>
    <t>d)  Minimum Effective Drawdown for Pressure Tank:</t>
  </si>
  <si>
    <t>b) Pressure Switch Settings Based on System Load:</t>
  </si>
  <si>
    <t>Dynamic head = higher switch setting of</t>
  </si>
  <si>
    <t xml:space="preserve">Minimum pressure tank volume of </t>
  </si>
  <si>
    <t>5) Static Pressure Checks</t>
  </si>
  <si>
    <t>c) Vertical Pumping Distance</t>
  </si>
  <si>
    <t xml:space="preserve">If velocity is greater than 5 fps, consider a larger diameter pipe.             </t>
  </si>
  <si>
    <t>Elevation of lowest trough:</t>
  </si>
  <si>
    <t>Difference:</t>
  </si>
  <si>
    <t>b)  Check static pressure at lowest trough:</t>
  </si>
  <si>
    <t>c)  Dynamic Head added to pump by the watering system:</t>
  </si>
  <si>
    <t>a) Summary of energy requirements for the watering system:</t>
  </si>
  <si>
    <t>TOTAL REQUIREMENTS:</t>
  </si>
  <si>
    <t>Total pressure at lowest trough:</t>
  </si>
  <si>
    <r>
      <t xml:space="preserve">feet    </t>
    </r>
    <r>
      <rPr>
        <b/>
        <sz val="10"/>
        <rFont val="Arial"/>
        <family val="2"/>
      </rPr>
      <t>OR</t>
    </r>
  </si>
  <si>
    <t>Add high pressure switch setting:</t>
  </si>
  <si>
    <t>Orange cell:  pressure exceeds max float valve pressure; red cell: pipe pressure limit exceeded.   Check troughs at higher elevations if pressure is excessive at lowest trough.</t>
  </si>
  <si>
    <t>psi      OR</t>
  </si>
  <si>
    <t>min/day</t>
  </si>
  <si>
    <t>Desired pumping rate to reservoir:</t>
  </si>
  <si>
    <t>psi  x  2.31  =</t>
  </si>
  <si>
    <t xml:space="preserve">ft.  OR </t>
  </si>
  <si>
    <t>Typical values range from 50-140 psi.  Check manufacturer's recommendations.</t>
  </si>
  <si>
    <t xml:space="preserve">Varies depending on type of float.  Use manufacturer's recommended minimum.  Typical value is 10 psi. </t>
  </si>
  <si>
    <t>Elevation of pressure switch:</t>
  </si>
  <si>
    <t>a)  Static pressure at pressure switch:</t>
  </si>
  <si>
    <r>
      <t xml:space="preserve">psi    </t>
    </r>
    <r>
      <rPr>
        <sz val="10"/>
        <color indexed="12"/>
        <rFont val="Arial"/>
        <family val="2"/>
      </rPr>
      <t>If friction loss is greater than 10 psi, consider using a larger diameter pipe.</t>
    </r>
  </si>
  <si>
    <t>4) Pressure Requirements</t>
  </si>
  <si>
    <t>Check static pressure at lowest trough:</t>
  </si>
  <si>
    <t>Elevation of public water connection:</t>
  </si>
  <si>
    <t>Add pressure at meter:</t>
  </si>
  <si>
    <t>Pressure at water meter:</t>
  </si>
  <si>
    <t>Available pressure is:</t>
  </si>
  <si>
    <r>
      <t xml:space="preserve">psi  </t>
    </r>
    <r>
      <rPr>
        <sz val="10"/>
        <color indexed="12"/>
        <rFont val="Arial"/>
        <family val="2"/>
      </rPr>
      <t>If friction loss is greater than 10 psi, consider using a larger diameter pipe.</t>
    </r>
  </si>
  <si>
    <t xml:space="preserve"> Summary of energy requirements for the watering system:</t>
  </si>
  <si>
    <t>Number of times herd drinks/day</t>
  </si>
  <si>
    <t>minutes/event</t>
  </si>
  <si>
    <t>Pipe nominal diameter:</t>
  </si>
  <si>
    <t>Pipe avg. inner diameter:</t>
  </si>
  <si>
    <t>Pipe material:</t>
  </si>
  <si>
    <t>Choices for Pipe Material</t>
  </si>
  <si>
    <t>Plastic:  PE SIDR-PR</t>
  </si>
  <si>
    <t>Plastic:  SCH 40 PVC</t>
  </si>
  <si>
    <t>Copper</t>
  </si>
  <si>
    <t>Steel</t>
  </si>
  <si>
    <t>b) Pipe Information</t>
  </si>
  <si>
    <t>PE</t>
  </si>
  <si>
    <t>PVC</t>
  </si>
  <si>
    <t>Choices for Nominal Diameter</t>
  </si>
  <si>
    <t xml:space="preserve">Actual average inner dia. </t>
  </si>
  <si>
    <t>C Value</t>
  </si>
  <si>
    <t>Hazen-Williams</t>
  </si>
  <si>
    <t>Trough ID and Type</t>
  </si>
  <si>
    <t>n=0.011</t>
  </si>
  <si>
    <t>n=0.012</t>
  </si>
  <si>
    <t>Kp Values:  See EFH-3, p. 3-21.</t>
  </si>
  <si>
    <t>If velocity is greater than 5 fps, consider a larger diameter pipe.                  Note:  For flows greater than design flow, velocities will be greater.</t>
  </si>
  <si>
    <t>For flow rates less than the design rate (yellow cells), consider modifying the system or using larger volume troughs.  If trough in-flow rate exceeds trough outflow rate (red cells), a flow restrictor, larger pipe diameter, or change in trough location may be necessary.   This may not be an issue if source flow rate is always less than the maximum flow possible.</t>
  </si>
  <si>
    <t>No. of times herd drinks/day:</t>
  </si>
  <si>
    <t>Pumping rate should not exceed source rate.</t>
  </si>
  <si>
    <t>Time desired to water herd:</t>
  </si>
  <si>
    <t>Minimum float valve pressure:</t>
  </si>
  <si>
    <t>Elevation of highest point:</t>
  </si>
  <si>
    <t>Static pressure on switch =</t>
  </si>
  <si>
    <t>If static pressure on the switch  exceeds low pressure switch setting (red cell), the pump will not turn back on after trough is initially filled and then emptied.</t>
  </si>
  <si>
    <t xml:space="preserve">Other: </t>
  </si>
  <si>
    <t>Ground elev. of high point:</t>
  </si>
  <si>
    <t>Ground elev. of low point:</t>
  </si>
  <si>
    <t>This is the minimum drawdown volume required to allow      the pump to run for at least one minute before shutting off.    A larger volume can be used.</t>
  </si>
  <si>
    <t>High point to pump "to":</t>
  </si>
  <si>
    <t>Low point to pump "from":</t>
  </si>
  <si>
    <r>
      <t xml:space="preserve">psi    </t>
    </r>
    <r>
      <rPr>
        <sz val="10"/>
        <color rgb="FF0000FF"/>
        <rFont val="Arial"/>
        <family val="2"/>
      </rPr>
      <t>Compare with result in Step 5b.</t>
    </r>
  </si>
  <si>
    <t>Total Dynamic Head will equal this number plus the 'Lift' Head required to get the water from the source up to the distribution system.  The flow rate and the Total Dynamic Head will be used to size the pump for the project.</t>
  </si>
  <si>
    <r>
      <t xml:space="preserve">psi  </t>
    </r>
    <r>
      <rPr>
        <sz val="10"/>
        <color rgb="FF0000FF"/>
        <rFont val="Arial"/>
        <family val="2"/>
      </rPr>
      <t>Compare with result in Step 5.</t>
    </r>
  </si>
  <si>
    <t>c) Vertical Lift</t>
  </si>
  <si>
    <r>
      <t xml:space="preserve">If </t>
    </r>
    <r>
      <rPr>
        <b/>
        <sz val="11"/>
        <color indexed="12"/>
        <rFont val="Arial"/>
        <family val="2"/>
      </rPr>
      <t>source flow rate</t>
    </r>
    <r>
      <rPr>
        <sz val="11"/>
        <color indexed="12"/>
        <rFont val="Arial"/>
        <family val="2"/>
      </rPr>
      <t xml:space="preserve"> is close to or less than Peak Demand, consider storage alternatives.</t>
    </r>
  </si>
  <si>
    <t>Reservoir depth below ground (typically 6'):</t>
  </si>
  <si>
    <t>ASTM D2737:  SDR 9  - Bue pipe</t>
  </si>
  <si>
    <t>Nominal</t>
  </si>
  <si>
    <t>Outer</t>
  </si>
  <si>
    <t>Min thickness</t>
  </si>
  <si>
    <t>Tolerance</t>
  </si>
  <si>
    <t>Avg. inner dia</t>
  </si>
  <si>
    <t>PE-SDR 9</t>
  </si>
  <si>
    <t>Plastic:  PE SDR 9</t>
  </si>
  <si>
    <t>Kp values computed based on EFH Chapter 3, eq. 3-9.</t>
  </si>
  <si>
    <t>C values from EFH-3, Fig 3-14 except</t>
  </si>
  <si>
    <t>for copper.  Copper value from MWPS-1, 1987, p. 801.17.</t>
  </si>
  <si>
    <t>Manning's n values for plastic pipe from EFH-3, Fig. 3-13.</t>
  </si>
  <si>
    <t>Changes made to September 2010 Version</t>
  </si>
  <si>
    <t xml:space="preserve">           Steel:  decreased from 100 to 80</t>
  </si>
  <si>
    <t xml:space="preserve">           Copper:  remained the same at 130.  EFH-3 Fig. 3-14 does not list copper.  Value of 130 obtained from Midwest Plan Service, Structures and Environment Handbook, Revised 1987, p. 801.17.</t>
  </si>
  <si>
    <t xml:space="preserve">           Plastic Pipe:  increased from 140 to 150</t>
  </si>
  <si>
    <t xml:space="preserve">2) Hazen-Williams C values adjusted according to EFH-3, Fig. 3-14: </t>
  </si>
  <si>
    <t>3) Manning's n values for plastic pipe changed from 0.009 to:</t>
  </si>
  <si>
    <t>PVC:</t>
  </si>
  <si>
    <t>PE:</t>
  </si>
  <si>
    <t>1) Added PE SDR 9 plastic pipe (ASTM D-2737) as a choice to the list of pipe materials in Step 3b.  Note that the inner diameter of this type of pipe is significantly smaller that other types of plastic pipe of the same nominal size.</t>
  </si>
  <si>
    <t>These values are from EFH-3, Fig. 3-13.</t>
  </si>
  <si>
    <t>The pumping system should be designed based on the TOTAL REQUIREMENTS value computed in 4a.</t>
  </si>
  <si>
    <t xml:space="preserve">If a high pressure switch setting of 80 psi or more is required, consider alternate design or high pressure-rated tank.  Note:  For VFD systems, Step 4b is not needed.  </t>
  </si>
  <si>
    <t>4) A note was added under 4b on the Pressure System tab regarding VFD systems.</t>
  </si>
  <si>
    <t xml:space="preserve"> (Text Description)</t>
  </si>
  <si>
    <t>Flow calculations assume a float valve efficiency of 80%.  For flows less than the design rate (yellow cells), consider modifying the system or using storage troughs (such as HETT or concrete).  If static pressures exceed the recommended maximum for the float valve (orange cell), consider using a pressure reducer, adjusting the orifice, or relocating the trough.  If static pressures are less than the recommended minimum (red cells), consider moving the trough to a lower elevation.  Cells are coded orange for static pressures exceeding  maximum recommended pipe pressures.</t>
  </si>
  <si>
    <t>Air lock can be a problem in spring-fed systems due to dissolved oxygen.  Use a minimum diameter of  1-1/2" for pipe grades bewteen 0.5-1.0%.  Use a minimum pipe diameter of 2" for pipe grades less than 0.5%.  See EFH Ch. 12.</t>
  </si>
  <si>
    <r>
      <t xml:space="preserve">If </t>
    </r>
    <r>
      <rPr>
        <b/>
        <sz val="10"/>
        <color indexed="12"/>
        <rFont val="Arial"/>
        <family val="2"/>
      </rPr>
      <t>source flow rate</t>
    </r>
    <r>
      <rPr>
        <sz val="10"/>
        <color indexed="12"/>
        <rFont val="Arial"/>
        <family val="2"/>
      </rPr>
      <t xml:space="preserve"> is close to or less than Peak Demand, consider storage alternatives.</t>
    </r>
  </si>
  <si>
    <t>Virginia Livestock Watering Systems - Pressure System  Worksheet (revised 01/2022)</t>
  </si>
  <si>
    <t>Virginia Livestock Watering Systems - Public Water Connection Worksheet (revised 01/2022)</t>
  </si>
  <si>
    <t xml:space="preserve"> Virginia Livestock Watering Systems - Pressure-Energy/Gravity Flow Worksheet (revised 01/2022)</t>
  </si>
  <si>
    <r>
      <t xml:space="preserve">If </t>
    </r>
    <r>
      <rPr>
        <b/>
        <sz val="10"/>
        <color indexed="12"/>
        <rFont val="Arial"/>
        <family val="2"/>
      </rPr>
      <t>source daily yield</t>
    </r>
    <r>
      <rPr>
        <sz val="10"/>
        <color indexed="12"/>
        <rFont val="Arial"/>
        <family val="2"/>
      </rPr>
      <t xml:space="preserve"> is less than Total Daily Demand, consider an alternate or supplemental water source.</t>
    </r>
  </si>
  <si>
    <r>
      <t xml:space="preserve">If </t>
    </r>
    <r>
      <rPr>
        <b/>
        <sz val="11"/>
        <color indexed="12"/>
        <rFont val="Arial"/>
        <family val="2"/>
      </rPr>
      <t>source daily yield</t>
    </r>
    <r>
      <rPr>
        <sz val="11"/>
        <color indexed="12"/>
        <rFont val="Arial"/>
        <family val="2"/>
      </rPr>
      <t xml:space="preserve"> is less than Total Daily Demand, consider an alternate or supplemental water source.</t>
    </r>
  </si>
  <si>
    <r>
      <t xml:space="preserve">CALCULATIONS FOR CASCADING SYSTEMS: </t>
    </r>
    <r>
      <rPr>
        <b/>
        <i/>
        <sz val="11"/>
        <color rgb="FFFF0000"/>
        <rFont val="Arial"/>
        <family val="2"/>
      </rPr>
      <t>Consult Area Engineer!</t>
    </r>
  </si>
  <si>
    <t>Seek advice from Area Engineer before using this tab.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</si>
</sst>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0"/>
    <numFmt numFmtId="166" formatCode="#,##0.0"/>
    <numFmt numFmtId="167" formatCode="0.000"/>
  </numFmts>
  <fonts count="38" x14ac:knownFonts="1">
    <font>
      <sz val="10"/>
      <name val="Arial"/>
    </font>
    <font>
      <sz val="10"/>
      <name val="Arial"/>
      <family val="2"/>
    </font>
    <font>
      <b/>
      <sz val="10"/>
      <name val="Arial"/>
      <family val="2"/>
    </font>
    <font>
      <sz val="10"/>
      <name val="Arial"/>
      <family val="2"/>
    </font>
    <font>
      <sz val="20"/>
      <name val="Arial"/>
      <family val="2"/>
    </font>
    <font>
      <sz val="9"/>
      <name val="Arial"/>
      <family val="2"/>
    </font>
    <font>
      <sz val="12"/>
      <name val="Arial"/>
      <family val="2"/>
    </font>
    <font>
      <sz val="8"/>
      <name val="Arial"/>
      <family val="2"/>
    </font>
    <font>
      <i/>
      <sz val="8"/>
      <name val="Arial"/>
      <family val="2"/>
    </font>
    <font>
      <sz val="9"/>
      <name val="Arial"/>
      <family val="2"/>
    </font>
    <font>
      <i/>
      <sz val="8"/>
      <color indexed="12"/>
      <name val="Arial"/>
      <family val="2"/>
    </font>
    <font>
      <b/>
      <sz val="10"/>
      <color indexed="12"/>
      <name val="Arial"/>
      <family val="2"/>
    </font>
    <font>
      <i/>
      <sz val="8"/>
      <color indexed="12"/>
      <name val="Arial"/>
      <family val="2"/>
    </font>
    <font>
      <i/>
      <sz val="9"/>
      <color indexed="12"/>
      <name val="Arial"/>
      <family val="2"/>
    </font>
    <font>
      <b/>
      <sz val="14"/>
      <color indexed="12"/>
      <name val="Arial"/>
      <family val="2"/>
    </font>
    <font>
      <i/>
      <sz val="10"/>
      <color indexed="12"/>
      <name val="Arial"/>
      <family val="2"/>
    </font>
    <font>
      <sz val="10"/>
      <color indexed="9"/>
      <name val="Arial"/>
      <family val="2"/>
    </font>
    <font>
      <sz val="10"/>
      <color indexed="12"/>
      <name val="Arial"/>
      <family val="2"/>
    </font>
    <font>
      <sz val="8"/>
      <color indexed="12"/>
      <name val="Arial"/>
      <family val="2"/>
    </font>
    <font>
      <b/>
      <sz val="20"/>
      <name val="Arial"/>
      <family val="2"/>
    </font>
    <font>
      <sz val="12"/>
      <name val="Arial"/>
      <family val="2"/>
    </font>
    <font>
      <sz val="10"/>
      <color indexed="12"/>
      <name val="Arial"/>
      <family val="2"/>
    </font>
    <font>
      <sz val="10"/>
      <color theme="1"/>
      <name val="Calibri"/>
      <family val="2"/>
      <scheme val="minor"/>
    </font>
    <font>
      <sz val="10"/>
      <color theme="1"/>
      <name val="Arial"/>
      <family val="2"/>
    </font>
    <font>
      <i/>
      <sz val="10"/>
      <name val="Arial"/>
      <family val="2"/>
    </font>
    <font>
      <sz val="10"/>
      <color rgb="FF0000FF"/>
      <name val="Arial"/>
      <family val="2"/>
    </font>
    <font>
      <sz val="11"/>
      <name val="Arial"/>
      <family val="2"/>
    </font>
    <font>
      <b/>
      <sz val="11"/>
      <name val="Arial"/>
      <family val="2"/>
    </font>
    <font>
      <sz val="11"/>
      <color indexed="12"/>
      <name val="Arial"/>
      <family val="2"/>
    </font>
    <font>
      <sz val="10.5"/>
      <color indexed="12"/>
      <name val="Arial"/>
      <family val="2"/>
    </font>
    <font>
      <b/>
      <sz val="11"/>
      <color indexed="12"/>
      <name val="Arial"/>
      <family val="2"/>
    </font>
    <font>
      <i/>
      <sz val="11"/>
      <color indexed="12"/>
      <name val="Arial"/>
      <family val="2"/>
    </font>
    <font>
      <sz val="11"/>
      <color indexed="10"/>
      <name val="Arial"/>
      <family val="2"/>
    </font>
    <font>
      <sz val="10.6"/>
      <name val="Arial"/>
      <family val="2"/>
    </font>
    <font>
      <sz val="10"/>
      <color rgb="FF000000"/>
      <name val="Arial"/>
      <family val="2"/>
    </font>
    <font>
      <b/>
      <u/>
      <sz val="14"/>
      <name val="Arial"/>
      <family val="2"/>
    </font>
    <font>
      <b/>
      <i/>
      <sz val="11"/>
      <color rgb="FFFF0000"/>
      <name val="Arial"/>
      <family val="2"/>
    </font>
    <font>
      <sz val="11"/>
      <color rgb="FFFF0000"/>
      <name val="Arial"/>
      <family val="2"/>
    </font>
  </fonts>
  <fills count="12">
    <fill>
      <patternFill patternType="none"/>
    </fill>
    <fill>
      <patternFill patternType="gray125"/>
    </fill>
    <fill>
      <patternFill patternType="solid">
        <fgColor indexed="9"/>
        <bgColor indexed="64"/>
      </patternFill>
    </fill>
    <fill>
      <patternFill patternType="solid">
        <fgColor indexed="34"/>
        <bgColor indexed="64"/>
      </patternFill>
    </fill>
    <fill>
      <patternFill patternType="solid">
        <fgColor indexed="13"/>
        <bgColor indexed="64"/>
      </patternFill>
    </fill>
    <fill>
      <patternFill patternType="solid">
        <fgColor indexed="41"/>
        <bgColor indexed="64"/>
      </patternFill>
    </fill>
    <fill>
      <patternFill patternType="solid">
        <fgColor indexed="27"/>
        <bgColor indexed="64"/>
      </patternFill>
    </fill>
    <fill>
      <patternFill patternType="solid">
        <fgColor rgb="FFCCFFFF"/>
        <bgColor indexed="64"/>
      </patternFill>
    </fill>
    <fill>
      <patternFill patternType="solid">
        <fgColor theme="0"/>
        <bgColor indexed="64"/>
      </patternFill>
    </fill>
    <fill>
      <patternFill patternType="solid">
        <fgColor theme="0" tint="-0.14996795556505021"/>
        <bgColor indexed="64"/>
      </patternFill>
    </fill>
    <fill>
      <patternFill patternType="solid">
        <fgColor theme="0" tint="-4.9989318521683403E-2"/>
        <bgColor indexed="64"/>
      </patternFill>
    </fill>
    <fill>
      <patternFill patternType="solid">
        <fgColor rgb="FFFFFF00"/>
        <bgColor indexed="64"/>
      </patternFill>
    </fill>
  </fills>
  <borders count="16">
    <border>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s>
  <cellStyleXfs count="1">
    <xf numFmtId="0" fontId="0" fillId="0" borderId="0"/>
  </cellStyleXfs>
  <cellXfs count="584">
    <xf numFmtId="0" fontId="0" fillId="0" borderId="0" xfId="0"/>
    <xf numFmtId="0" fontId="0" fillId="0" borderId="0" xfId="0" applyAlignment="1">
      <alignment horizontal="center"/>
    </xf>
    <xf numFmtId="0" fontId="0" fillId="0" borderId="0" xfId="0" applyBorder="1"/>
    <xf numFmtId="0" fontId="0" fillId="0" borderId="0" xfId="0" applyBorder="1" applyProtection="1">
      <protection hidden="1"/>
    </xf>
    <xf numFmtId="0" fontId="0" fillId="2" borderId="0" xfId="0" applyFill="1" applyBorder="1"/>
    <xf numFmtId="0" fontId="0" fillId="2" borderId="0" xfId="0" applyFill="1" applyBorder="1" applyAlignment="1"/>
    <xf numFmtId="14" fontId="0" fillId="2" borderId="0" xfId="0" applyNumberFormat="1" applyFill="1" applyBorder="1" applyAlignment="1"/>
    <xf numFmtId="0" fontId="0" fillId="2" borderId="0" xfId="0" applyFill="1"/>
    <xf numFmtId="0" fontId="0" fillId="0" borderId="0" xfId="0" applyFill="1"/>
    <xf numFmtId="0" fontId="0" fillId="0" borderId="0" xfId="0" applyFill="1" applyBorder="1"/>
    <xf numFmtId="0" fontId="0" fillId="0" borderId="0" xfId="0" applyFill="1" applyBorder="1" applyAlignment="1">
      <alignment horizontal="center"/>
    </xf>
    <xf numFmtId="0" fontId="8" fillId="2" borderId="0" xfId="0" applyFont="1" applyFill="1" applyBorder="1" applyAlignment="1">
      <alignment vertical="top" wrapText="1"/>
    </xf>
    <xf numFmtId="0" fontId="0" fillId="0" borderId="0" xfId="0" applyBorder="1" applyAlignment="1">
      <alignment horizontal="center"/>
    </xf>
    <xf numFmtId="164" fontId="9" fillId="2" borderId="0" xfId="0" applyNumberFormat="1" applyFont="1" applyFill="1" applyBorder="1" applyAlignment="1">
      <alignment horizontal="center" wrapText="1"/>
    </xf>
    <xf numFmtId="0" fontId="0" fillId="2" borderId="1" xfId="0" applyFill="1" applyBorder="1"/>
    <xf numFmtId="0" fontId="0" fillId="2" borderId="1" xfId="0" applyFill="1" applyBorder="1" applyAlignment="1"/>
    <xf numFmtId="0" fontId="0" fillId="2" borderId="4" xfId="0" applyFill="1" applyBorder="1"/>
    <xf numFmtId="0" fontId="0" fillId="2" borderId="7" xfId="0" applyFill="1" applyBorder="1"/>
    <xf numFmtId="0" fontId="0" fillId="2" borderId="0" xfId="0" applyFill="1" applyBorder="1" applyAlignment="1">
      <alignment horizontal="left"/>
    </xf>
    <xf numFmtId="0" fontId="0" fillId="2" borderId="0" xfId="0" applyFill="1" applyBorder="1" applyAlignment="1">
      <alignment vertical="center" wrapText="1" shrinkToFit="1"/>
    </xf>
    <xf numFmtId="0" fontId="10" fillId="2" borderId="0" xfId="0" applyFont="1" applyFill="1" applyBorder="1" applyAlignment="1">
      <alignment horizontal="left" vertical="top" wrapText="1"/>
    </xf>
    <xf numFmtId="0" fontId="0" fillId="2" borderId="0" xfId="0" applyFill="1" applyBorder="1" applyAlignment="1" applyProtection="1">
      <protection hidden="1"/>
    </xf>
    <xf numFmtId="0" fontId="0" fillId="2" borderId="0" xfId="0" applyFill="1" applyBorder="1" applyProtection="1">
      <protection hidden="1"/>
    </xf>
    <xf numFmtId="0" fontId="0" fillId="2" borderId="4" xfId="0" applyFill="1" applyBorder="1" applyAlignment="1"/>
    <xf numFmtId="0" fontId="13" fillId="2" borderId="0" xfId="0" applyFont="1" applyFill="1" applyBorder="1" applyAlignment="1" applyProtection="1">
      <alignment vertical="top" wrapText="1"/>
      <protection hidden="1"/>
    </xf>
    <xf numFmtId="0" fontId="3" fillId="0" borderId="0" xfId="0" applyFont="1" applyBorder="1"/>
    <xf numFmtId="0" fontId="3" fillId="2" borderId="0" xfId="0" applyFont="1" applyFill="1" applyBorder="1"/>
    <xf numFmtId="0" fontId="6" fillId="2" borderId="0" xfId="0" applyFont="1" applyFill="1" applyBorder="1" applyAlignment="1">
      <alignment vertical="center" wrapText="1" shrinkToFit="1"/>
    </xf>
    <xf numFmtId="0" fontId="2" fillId="2" borderId="0" xfId="0" applyFont="1" applyFill="1" applyBorder="1" applyAlignment="1">
      <alignment vertical="center"/>
    </xf>
    <xf numFmtId="0" fontId="13" fillId="2" borderId="0" xfId="0" applyFont="1" applyFill="1" applyBorder="1" applyAlignment="1">
      <alignment horizontal="left" vertical="top" wrapText="1"/>
    </xf>
    <xf numFmtId="0" fontId="13" fillId="2" borderId="1" xfId="0" applyFont="1" applyFill="1" applyBorder="1" applyAlignment="1" applyProtection="1">
      <alignment vertical="top" wrapText="1"/>
      <protection hidden="1"/>
    </xf>
    <xf numFmtId="0" fontId="4" fillId="2" borderId="0" xfId="0" applyFont="1" applyFill="1" applyBorder="1" applyAlignment="1" applyProtection="1">
      <protection hidden="1"/>
    </xf>
    <xf numFmtId="0" fontId="10" fillId="2" borderId="0" xfId="0" applyFont="1" applyFill="1" applyBorder="1" applyAlignment="1">
      <alignment vertical="top" wrapText="1"/>
    </xf>
    <xf numFmtId="0" fontId="0" fillId="2" borderId="11" xfId="0" applyFill="1" applyBorder="1" applyAlignment="1">
      <alignment vertical="center" wrapText="1" shrinkToFit="1"/>
    </xf>
    <xf numFmtId="0" fontId="2" fillId="2" borderId="0" xfId="0" applyFont="1" applyFill="1" applyBorder="1"/>
    <xf numFmtId="0" fontId="12" fillId="2" borderId="0" xfId="0" applyFont="1" applyFill="1" applyBorder="1" applyAlignment="1">
      <alignment vertical="top" wrapText="1"/>
    </xf>
    <xf numFmtId="0" fontId="10" fillId="2" borderId="1" xfId="0" applyFont="1" applyFill="1" applyBorder="1" applyAlignment="1">
      <alignment vertical="top" wrapText="1"/>
    </xf>
    <xf numFmtId="0" fontId="4" fillId="2" borderId="4" xfId="0" applyFont="1" applyFill="1" applyBorder="1" applyAlignment="1" applyProtection="1">
      <protection hidden="1"/>
    </xf>
    <xf numFmtId="0" fontId="0" fillId="2" borderId="4" xfId="0" applyFill="1" applyBorder="1" applyAlignment="1">
      <alignment vertical="center" wrapText="1" shrinkToFit="1"/>
    </xf>
    <xf numFmtId="0" fontId="13" fillId="2" borderId="1" xfId="0" applyFont="1" applyFill="1" applyBorder="1" applyAlignment="1">
      <alignment vertical="top" wrapText="1"/>
    </xf>
    <xf numFmtId="0" fontId="0" fillId="2" borderId="6" xfId="0" applyFill="1" applyBorder="1"/>
    <xf numFmtId="0" fontId="0" fillId="3" borderId="13" xfId="0" applyFill="1" applyBorder="1"/>
    <xf numFmtId="0" fontId="0" fillId="3" borderId="14" xfId="0" applyFill="1" applyBorder="1"/>
    <xf numFmtId="0" fontId="0" fillId="3" borderId="12" xfId="0" applyFill="1" applyBorder="1"/>
    <xf numFmtId="0" fontId="5" fillId="2" borderId="0" xfId="0" applyFont="1" applyFill="1" applyBorder="1" applyAlignment="1">
      <alignment vertical="top" wrapText="1"/>
    </xf>
    <xf numFmtId="0" fontId="9" fillId="2" borderId="0" xfId="0" applyFont="1" applyFill="1" applyBorder="1" applyAlignment="1">
      <alignment vertical="top" wrapText="1"/>
    </xf>
    <xf numFmtId="0" fontId="13" fillId="2" borderId="0" xfId="0" applyFont="1" applyFill="1" applyBorder="1" applyAlignment="1">
      <alignment vertical="top" wrapText="1"/>
    </xf>
    <xf numFmtId="0" fontId="14" fillId="2" borderId="0" xfId="0" applyFont="1" applyFill="1" applyBorder="1" applyAlignment="1">
      <alignment horizontal="left" vertical="center"/>
    </xf>
    <xf numFmtId="0" fontId="14" fillId="2" borderId="0" xfId="0" applyFont="1" applyFill="1" applyBorder="1" applyAlignment="1">
      <alignment vertical="center"/>
    </xf>
    <xf numFmtId="14" fontId="14" fillId="2" borderId="0" xfId="0" applyNumberFormat="1" applyFont="1" applyFill="1" applyBorder="1"/>
    <xf numFmtId="0" fontId="14" fillId="2" borderId="0" xfId="0" applyFont="1" applyFill="1" applyBorder="1"/>
    <xf numFmtId="0" fontId="0" fillId="0" borderId="0" xfId="0" applyBorder="1" applyProtection="1">
      <protection locked="0"/>
    </xf>
    <xf numFmtId="0" fontId="0" fillId="2" borderId="0" xfId="0" applyFill="1" applyBorder="1" applyProtection="1">
      <protection locked="0"/>
    </xf>
    <xf numFmtId="0" fontId="0" fillId="2" borderId="0" xfId="0" applyFill="1" applyBorder="1" applyAlignment="1">
      <alignment horizontal="right" vertical="center" wrapText="1" shrinkToFit="1"/>
    </xf>
    <xf numFmtId="0" fontId="0" fillId="2" borderId="0" xfId="0" applyFill="1" applyBorder="1" applyAlignment="1">
      <alignment horizontal="center"/>
    </xf>
    <xf numFmtId="0" fontId="3" fillId="3" borderId="13" xfId="0" applyFont="1" applyFill="1" applyBorder="1"/>
    <xf numFmtId="0" fontId="1" fillId="0" borderId="0" xfId="0" applyFont="1"/>
    <xf numFmtId="164" fontId="9" fillId="2" borderId="4" xfId="0" applyNumberFormat="1" applyFont="1" applyFill="1" applyBorder="1" applyAlignment="1">
      <alignment horizontal="center" wrapText="1"/>
    </xf>
    <xf numFmtId="0" fontId="9" fillId="2" borderId="7" xfId="0" applyFont="1" applyFill="1" applyBorder="1" applyAlignment="1">
      <alignment vertical="top" wrapText="1"/>
    </xf>
    <xf numFmtId="0" fontId="5" fillId="2" borderId="7" xfId="0" applyFont="1" applyFill="1" applyBorder="1" applyAlignment="1">
      <alignment vertical="top" wrapText="1"/>
    </xf>
    <xf numFmtId="0" fontId="10" fillId="2" borderId="7" xfId="0" applyFont="1" applyFill="1" applyBorder="1" applyAlignment="1">
      <alignment vertical="top" wrapText="1"/>
    </xf>
    <xf numFmtId="0" fontId="10" fillId="2" borderId="8" xfId="0" applyFont="1" applyFill="1" applyBorder="1" applyAlignment="1">
      <alignment vertical="top" wrapText="1"/>
    </xf>
    <xf numFmtId="0" fontId="0" fillId="2" borderId="5" xfId="0" applyFill="1" applyBorder="1"/>
    <xf numFmtId="0" fontId="1" fillId="2" borderId="2" xfId="0" applyFont="1" applyFill="1" applyBorder="1" applyAlignment="1" applyProtection="1">
      <alignment horizontal="center"/>
      <protection locked="0"/>
    </xf>
    <xf numFmtId="0" fontId="0" fillId="5" borderId="2" xfId="0" applyFill="1" applyBorder="1"/>
    <xf numFmtId="165" fontId="0" fillId="5" borderId="2" xfId="0" applyNumberFormat="1" applyFill="1" applyBorder="1"/>
    <xf numFmtId="164" fontId="0" fillId="5" borderId="2" xfId="0" applyNumberFormat="1" applyFill="1" applyBorder="1"/>
    <xf numFmtId="1" fontId="0" fillId="5" borderId="2" xfId="0" applyNumberFormat="1" applyFill="1" applyBorder="1"/>
    <xf numFmtId="164" fontId="0" fillId="5" borderId="2" xfId="0" applyNumberFormat="1" applyFill="1" applyBorder="1" applyAlignment="1"/>
    <xf numFmtId="0" fontId="0" fillId="2" borderId="4" xfId="0" applyFill="1" applyBorder="1" applyProtection="1">
      <protection locked="0"/>
    </xf>
    <xf numFmtId="0" fontId="0" fillId="0" borderId="0" xfId="0" applyAlignment="1" applyProtection="1">
      <alignment horizontal="center"/>
      <protection locked="0"/>
    </xf>
    <xf numFmtId="0" fontId="0" fillId="2" borderId="0" xfId="0" applyFill="1" applyAlignment="1" applyProtection="1">
      <alignment horizontal="center"/>
      <protection locked="0"/>
    </xf>
    <xf numFmtId="0" fontId="13" fillId="2" borderId="7" xfId="0" applyFont="1" applyFill="1" applyBorder="1" applyAlignment="1">
      <alignment vertical="top" wrapText="1"/>
    </xf>
    <xf numFmtId="0" fontId="13" fillId="2" borderId="0" xfId="0" applyFont="1" applyFill="1" applyBorder="1" applyAlignment="1" applyProtection="1">
      <alignment horizontal="left" vertical="top" wrapText="1"/>
      <protection hidden="1"/>
    </xf>
    <xf numFmtId="0" fontId="15" fillId="2" borderId="0" xfId="0" applyFont="1" applyFill="1" applyBorder="1" applyAlignment="1">
      <alignment horizontal="left" vertical="top" wrapText="1"/>
    </xf>
    <xf numFmtId="0" fontId="3" fillId="0" borderId="0" xfId="0" applyFont="1"/>
    <xf numFmtId="0" fontId="0" fillId="0" borderId="0" xfId="0" applyProtection="1">
      <protection locked="0"/>
    </xf>
    <xf numFmtId="0" fontId="2" fillId="0" borderId="0" xfId="0" applyFont="1" applyBorder="1" applyAlignment="1" applyProtection="1">
      <protection hidden="1"/>
    </xf>
    <xf numFmtId="0" fontId="0" fillId="2" borderId="0" xfId="0" applyFill="1" applyBorder="1" applyAlignment="1" applyProtection="1">
      <alignment horizontal="center"/>
      <protection hidden="1"/>
    </xf>
    <xf numFmtId="0" fontId="2" fillId="2" borderId="0" xfId="0" applyFont="1" applyFill="1" applyBorder="1" applyAlignment="1" applyProtection="1">
      <protection hidden="1"/>
    </xf>
    <xf numFmtId="0" fontId="16" fillId="2" borderId="0" xfId="0" applyFont="1" applyFill="1" applyBorder="1" applyAlignment="1"/>
    <xf numFmtId="164" fontId="0" fillId="2" borderId="0" xfId="0" applyNumberFormat="1" applyFill="1" applyBorder="1" applyProtection="1">
      <protection hidden="1"/>
    </xf>
    <xf numFmtId="0" fontId="0" fillId="0" borderId="0" xfId="0" applyBorder="1" applyAlignment="1">
      <alignment horizontal="left"/>
    </xf>
    <xf numFmtId="0" fontId="2" fillId="2" borderId="0" xfId="0" applyFont="1" applyFill="1" applyBorder="1" applyAlignment="1" applyProtection="1">
      <alignment horizontal="left"/>
      <protection hidden="1"/>
    </xf>
    <xf numFmtId="164" fontId="0" fillId="4" borderId="2" xfId="0" applyNumberFormat="1" applyFill="1" applyBorder="1" applyAlignment="1" applyProtection="1">
      <protection hidden="1"/>
    </xf>
    <xf numFmtId="0" fontId="3" fillId="2" borderId="0" xfId="0" applyFont="1" applyFill="1" applyBorder="1" applyAlignment="1" applyProtection="1">
      <protection hidden="1"/>
    </xf>
    <xf numFmtId="0" fontId="9" fillId="2" borderId="0" xfId="0" applyFont="1" applyFill="1" applyBorder="1" applyAlignment="1">
      <alignment horizontal="center" vertical="top" wrapText="1"/>
    </xf>
    <xf numFmtId="0" fontId="9" fillId="2" borderId="0" xfId="0" applyFont="1" applyFill="1" applyBorder="1" applyAlignment="1">
      <alignment horizontal="center"/>
    </xf>
    <xf numFmtId="0" fontId="9" fillId="2" borderId="0" xfId="0" applyFont="1" applyFill="1" applyBorder="1" applyAlignment="1" applyProtection="1">
      <alignment horizontal="center"/>
      <protection locked="0"/>
    </xf>
    <xf numFmtId="164" fontId="9" fillId="2" borderId="0" xfId="0" applyNumberFormat="1" applyFont="1" applyFill="1" applyBorder="1" applyAlignment="1" applyProtection="1">
      <alignment horizontal="center"/>
      <protection locked="0"/>
    </xf>
    <xf numFmtId="0" fontId="0" fillId="2" borderId="0" xfId="0" applyFill="1" applyAlignment="1"/>
    <xf numFmtId="164" fontId="0" fillId="2" borderId="0" xfId="0" applyNumberFormat="1" applyFill="1" applyBorder="1" applyAlignment="1"/>
    <xf numFmtId="0" fontId="0" fillId="2" borderId="0" xfId="0" applyFill="1" applyBorder="1" applyAlignment="1" applyProtection="1">
      <alignment wrapText="1"/>
      <protection hidden="1"/>
    </xf>
    <xf numFmtId="164" fontId="0" fillId="2" borderId="0" xfId="0" applyNumberFormat="1" applyFill="1" applyBorder="1" applyAlignment="1" applyProtection="1">
      <alignment wrapText="1"/>
      <protection hidden="1"/>
    </xf>
    <xf numFmtId="0" fontId="18" fillId="2" borderId="0" xfId="0" applyFont="1" applyFill="1" applyBorder="1" applyAlignment="1" applyProtection="1">
      <alignment vertical="top" wrapText="1"/>
      <protection hidden="1"/>
    </xf>
    <xf numFmtId="1" fontId="9" fillId="2" borderId="0" xfId="0" applyNumberFormat="1" applyFont="1" applyFill="1" applyBorder="1" applyAlignment="1" applyProtection="1">
      <alignment horizontal="center"/>
      <protection locked="0"/>
    </xf>
    <xf numFmtId="166" fontId="9" fillId="2" borderId="0" xfId="0" applyNumberFormat="1" applyFont="1" applyFill="1" applyBorder="1" applyAlignment="1">
      <alignment horizontal="center"/>
    </xf>
    <xf numFmtId="0" fontId="0" fillId="6" borderId="2" xfId="0" applyFill="1" applyBorder="1"/>
    <xf numFmtId="0" fontId="2" fillId="2" borderId="0" xfId="0" applyFont="1" applyFill="1" applyBorder="1" applyAlignment="1">
      <alignment horizontal="center"/>
    </xf>
    <xf numFmtId="164" fontId="0" fillId="6" borderId="2" xfId="0" applyNumberFormat="1" applyFill="1" applyBorder="1" applyAlignment="1" applyProtection="1">
      <protection hidden="1"/>
    </xf>
    <xf numFmtId="164" fontId="0" fillId="6" borderId="2" xfId="0" applyNumberFormat="1" applyFill="1" applyBorder="1" applyAlignment="1"/>
    <xf numFmtId="0" fontId="0" fillId="6" borderId="2" xfId="0" applyFill="1" applyBorder="1" applyAlignment="1" applyProtection="1">
      <protection hidden="1"/>
    </xf>
    <xf numFmtId="0" fontId="0" fillId="5" borderId="2" xfId="0" applyFill="1" applyBorder="1" applyAlignment="1" applyProtection="1">
      <protection hidden="1"/>
    </xf>
    <xf numFmtId="0" fontId="3" fillId="2" borderId="0" xfId="0" applyFont="1" applyFill="1" applyBorder="1" applyAlignment="1">
      <alignment horizontal="left"/>
    </xf>
    <xf numFmtId="0" fontId="0" fillId="2" borderId="1" xfId="0" applyFill="1" applyBorder="1" applyAlignment="1" applyProtection="1">
      <protection hidden="1"/>
    </xf>
    <xf numFmtId="0" fontId="10" fillId="2" borderId="0" xfId="0" applyFont="1" applyFill="1" applyBorder="1" applyAlignment="1" applyProtection="1">
      <alignment vertical="top" wrapText="1"/>
      <protection hidden="1"/>
    </xf>
    <xf numFmtId="0" fontId="3" fillId="2" borderId="0" xfId="0" applyFont="1" applyFill="1" applyBorder="1" applyAlignment="1" applyProtection="1">
      <alignment vertical="top"/>
      <protection hidden="1"/>
    </xf>
    <xf numFmtId="0" fontId="13" fillId="2" borderId="4" xfId="0" applyFont="1" applyFill="1" applyBorder="1" applyAlignment="1" applyProtection="1">
      <alignment horizontal="left" vertical="top" wrapText="1"/>
      <protection hidden="1"/>
    </xf>
    <xf numFmtId="0" fontId="2" fillId="0" borderId="0" xfId="0" applyFont="1" applyBorder="1"/>
    <xf numFmtId="0" fontId="15" fillId="2" borderId="5" xfId="0" applyFont="1" applyFill="1" applyBorder="1" applyAlignment="1" applyProtection="1">
      <alignment vertical="top" wrapText="1"/>
      <protection hidden="1"/>
    </xf>
    <xf numFmtId="0" fontId="0" fillId="2" borderId="11" xfId="0" applyFill="1" applyBorder="1"/>
    <xf numFmtId="0" fontId="2" fillId="2" borderId="4" xfId="0" applyFont="1" applyFill="1" applyBorder="1" applyAlignment="1" applyProtection="1">
      <protection hidden="1"/>
    </xf>
    <xf numFmtId="0" fontId="17" fillId="2" borderId="4" xfId="0" applyFont="1" applyFill="1" applyBorder="1" applyAlignment="1">
      <alignment vertical="center" wrapText="1"/>
    </xf>
    <xf numFmtId="0" fontId="2" fillId="2" borderId="4" xfId="0" applyFont="1" applyFill="1" applyBorder="1" applyAlignment="1"/>
    <xf numFmtId="14" fontId="14" fillId="2" borderId="3" xfId="0" applyNumberFormat="1" applyFont="1" applyFill="1" applyBorder="1"/>
    <xf numFmtId="14" fontId="0" fillId="2" borderId="5" xfId="0" applyNumberFormat="1" applyFill="1" applyBorder="1" applyAlignment="1"/>
    <xf numFmtId="0" fontId="0" fillId="2" borderId="5" xfId="0" applyFill="1" applyBorder="1" applyProtection="1">
      <protection hidden="1"/>
    </xf>
    <xf numFmtId="0" fontId="0" fillId="2" borderId="5" xfId="0" applyFill="1" applyBorder="1" applyAlignment="1" applyProtection="1">
      <alignment horizontal="center"/>
      <protection hidden="1"/>
    </xf>
    <xf numFmtId="0" fontId="0" fillId="2" borderId="5" xfId="0" applyFill="1" applyBorder="1" applyAlignment="1" applyProtection="1">
      <protection hidden="1"/>
    </xf>
    <xf numFmtId="0" fontId="13" fillId="2" borderId="5" xfId="0" applyFont="1" applyFill="1" applyBorder="1" applyAlignment="1" applyProtection="1">
      <alignment vertical="top" wrapText="1"/>
      <protection hidden="1"/>
    </xf>
    <xf numFmtId="0" fontId="13" fillId="2" borderId="11" xfId="0" applyFont="1" applyFill="1" applyBorder="1" applyAlignment="1" applyProtection="1">
      <alignment vertical="top" wrapText="1"/>
      <protection hidden="1"/>
    </xf>
    <xf numFmtId="14" fontId="2" fillId="2" borderId="4" xfId="0" applyNumberFormat="1" applyFont="1" applyFill="1" applyBorder="1"/>
    <xf numFmtId="0" fontId="0" fillId="2" borderId="8" xfId="0" applyFill="1" applyBorder="1"/>
    <xf numFmtId="0" fontId="14" fillId="2" borderId="3" xfId="0" applyFont="1" applyFill="1" applyBorder="1" applyAlignment="1">
      <alignment vertical="center"/>
    </xf>
    <xf numFmtId="0" fontId="0" fillId="2" borderId="5" xfId="0" applyFill="1" applyBorder="1" applyAlignment="1">
      <alignment vertical="center" wrapText="1" shrinkToFit="1"/>
    </xf>
    <xf numFmtId="0" fontId="0" fillId="2" borderId="5" xfId="0" applyFill="1" applyBorder="1" applyAlignment="1"/>
    <xf numFmtId="0" fontId="2" fillId="2" borderId="4" xfId="0" applyFont="1" applyFill="1" applyBorder="1" applyAlignment="1">
      <alignment vertical="center"/>
    </xf>
    <xf numFmtId="14" fontId="0" fillId="2" borderId="4" xfId="0" applyNumberFormat="1" applyFill="1" applyBorder="1"/>
    <xf numFmtId="0" fontId="13" fillId="2" borderId="7" xfId="0" applyFont="1" applyFill="1" applyBorder="1" applyAlignment="1" applyProtection="1">
      <alignment vertical="top" wrapText="1"/>
      <protection hidden="1"/>
    </xf>
    <xf numFmtId="0" fontId="14" fillId="2" borderId="3" xfId="0" applyFont="1" applyFill="1" applyBorder="1" applyAlignment="1">
      <alignment horizontal="left" vertical="center"/>
    </xf>
    <xf numFmtId="0" fontId="6" fillId="2" borderId="5" xfId="0" applyFont="1" applyFill="1" applyBorder="1" applyAlignment="1">
      <alignment vertical="center" wrapText="1" shrinkToFit="1"/>
    </xf>
    <xf numFmtId="0" fontId="0" fillId="2" borderId="5" xfId="0" applyFill="1" applyBorder="1" applyAlignment="1">
      <alignment horizontal="left"/>
    </xf>
    <xf numFmtId="14" fontId="3" fillId="2" borderId="4" xfId="0" applyNumberFormat="1" applyFont="1" applyFill="1" applyBorder="1"/>
    <xf numFmtId="0" fontId="3" fillId="2" borderId="4" xfId="0" applyFont="1" applyFill="1" applyBorder="1"/>
    <xf numFmtId="14" fontId="3" fillId="2" borderId="6" xfId="0" applyNumberFormat="1" applyFont="1" applyFill="1" applyBorder="1"/>
    <xf numFmtId="0" fontId="3" fillId="2" borderId="7" xfId="0" applyFont="1" applyFill="1" applyBorder="1"/>
    <xf numFmtId="14" fontId="0" fillId="2" borderId="7" xfId="0" applyNumberFormat="1" applyFill="1" applyBorder="1" applyAlignment="1"/>
    <xf numFmtId="0" fontId="15" fillId="2" borderId="0" xfId="0" applyFont="1" applyFill="1" applyBorder="1" applyAlignment="1">
      <alignment vertical="top" wrapText="1"/>
    </xf>
    <xf numFmtId="0" fontId="15" fillId="2" borderId="7" xfId="0" applyFont="1" applyFill="1" applyBorder="1" applyAlignment="1">
      <alignment vertical="top" wrapText="1"/>
    </xf>
    <xf numFmtId="0" fontId="15" fillId="2" borderId="5" xfId="0" applyFont="1" applyFill="1" applyBorder="1" applyAlignment="1">
      <alignment vertical="center" wrapText="1"/>
    </xf>
    <xf numFmtId="0" fontId="0" fillId="2" borderId="1" xfId="0" applyFill="1" applyBorder="1" applyProtection="1">
      <protection hidden="1"/>
    </xf>
    <xf numFmtId="164" fontId="0" fillId="5" borderId="2" xfId="0" applyNumberFormat="1" applyFill="1" applyBorder="1" applyProtection="1"/>
    <xf numFmtId="0" fontId="0" fillId="0" borderId="0" xfId="0" applyProtection="1"/>
    <xf numFmtId="0" fontId="0" fillId="0" borderId="0" xfId="0" applyBorder="1" applyProtection="1"/>
    <xf numFmtId="0" fontId="0" fillId="0" borderId="0" xfId="0" applyFill="1" applyBorder="1" applyAlignment="1" applyProtection="1">
      <alignment horizontal="center"/>
    </xf>
    <xf numFmtId="0" fontId="0" fillId="0" borderId="0" xfId="0" applyFill="1" applyBorder="1" applyProtection="1"/>
    <xf numFmtId="0" fontId="0" fillId="0" borderId="0" xfId="0" applyFill="1" applyBorder="1" applyAlignment="1" applyProtection="1">
      <alignment horizontal="right"/>
    </xf>
    <xf numFmtId="0" fontId="0" fillId="0" borderId="0" xfId="0" applyBorder="1" applyAlignment="1" applyProtection="1">
      <alignment horizontal="center"/>
    </xf>
    <xf numFmtId="0" fontId="0" fillId="0" borderId="0" xfId="0" quotePrefix="1" applyFill="1" applyBorder="1" applyAlignment="1" applyProtection="1">
      <alignment horizontal="left"/>
    </xf>
    <xf numFmtId="164" fontId="3" fillId="6" borderId="2" xfId="0" applyNumberFormat="1" applyFont="1" applyFill="1" applyBorder="1" applyAlignment="1" applyProtection="1"/>
    <xf numFmtId="0" fontId="3" fillId="2" borderId="0" xfId="0" applyFont="1" applyFill="1"/>
    <xf numFmtId="0" fontId="3" fillId="2" borderId="0" xfId="0" applyFont="1" applyFill="1" applyProtection="1">
      <protection locked="0"/>
    </xf>
    <xf numFmtId="0" fontId="0" fillId="2" borderId="0" xfId="0" applyFill="1" applyProtection="1">
      <protection locked="0"/>
    </xf>
    <xf numFmtId="0" fontId="0" fillId="2" borderId="0" xfId="0" applyFill="1" applyProtection="1"/>
    <xf numFmtId="0" fontId="0" fillId="2" borderId="0" xfId="0" quotePrefix="1" applyFill="1" applyProtection="1"/>
    <xf numFmtId="0" fontId="0" fillId="2" borderId="0" xfId="0" applyFill="1" applyBorder="1" applyProtection="1"/>
    <xf numFmtId="0" fontId="13" fillId="2" borderId="7" xfId="0" applyFont="1" applyFill="1" applyBorder="1" applyAlignment="1">
      <alignment horizontal="left" vertical="top" wrapText="1"/>
    </xf>
    <xf numFmtId="1" fontId="0" fillId="0" borderId="7" xfId="0" applyNumberFormat="1" applyFill="1" applyBorder="1"/>
    <xf numFmtId="14" fontId="11" fillId="2" borderId="7" xfId="0" applyNumberFormat="1" applyFont="1" applyFill="1" applyBorder="1"/>
    <xf numFmtId="0" fontId="0" fillId="2" borderId="7" xfId="0" applyFill="1" applyBorder="1" applyAlignment="1"/>
    <xf numFmtId="0" fontId="13" fillId="2" borderId="8" xfId="0" applyFont="1" applyFill="1" applyBorder="1" applyAlignment="1" applyProtection="1">
      <alignment vertical="top" wrapText="1"/>
      <protection hidden="1"/>
    </xf>
    <xf numFmtId="0" fontId="0" fillId="0" borderId="0" xfId="0" applyBorder="1" applyAlignment="1"/>
    <xf numFmtId="0" fontId="0" fillId="0" borderId="4" xfId="0" applyBorder="1"/>
    <xf numFmtId="0" fontId="0" fillId="0" borderId="0" xfId="0" applyBorder="1"/>
    <xf numFmtId="0" fontId="0" fillId="0" borderId="7" xfId="0" applyBorder="1"/>
    <xf numFmtId="0" fontId="3" fillId="0" borderId="0" xfId="0" applyFont="1" applyFill="1" applyBorder="1"/>
    <xf numFmtId="0" fontId="6" fillId="3" borderId="14" xfId="0" applyFont="1" applyFill="1" applyBorder="1"/>
    <xf numFmtId="0" fontId="6" fillId="3" borderId="12" xfId="0" applyFont="1" applyFill="1" applyBorder="1"/>
    <xf numFmtId="164" fontId="3" fillId="4" borderId="2" xfId="0" applyNumberFormat="1" applyFont="1" applyFill="1" applyBorder="1" applyProtection="1"/>
    <xf numFmtId="0" fontId="3" fillId="2" borderId="4" xfId="0" applyFont="1" applyFill="1" applyBorder="1" applyAlignment="1">
      <alignment horizontal="left" vertical="top"/>
    </xf>
    <xf numFmtId="0" fontId="21" fillId="2" borderId="4" xfId="0" applyFont="1" applyFill="1" applyBorder="1" applyAlignment="1">
      <alignment vertical="center" wrapText="1"/>
    </xf>
    <xf numFmtId="0" fontId="0" fillId="2" borderId="0" xfId="0" applyFont="1" applyFill="1" applyBorder="1" applyAlignment="1" applyProtection="1">
      <alignment horizontal="left"/>
      <protection hidden="1"/>
    </xf>
    <xf numFmtId="0" fontId="0" fillId="2" borderId="0" xfId="0" applyFont="1" applyFill="1" applyBorder="1" applyAlignment="1">
      <alignment horizontal="left"/>
    </xf>
    <xf numFmtId="0" fontId="15" fillId="2" borderId="0" xfId="0" applyFont="1" applyFill="1" applyBorder="1" applyAlignment="1">
      <alignment vertical="center" wrapText="1"/>
    </xf>
    <xf numFmtId="0" fontId="15" fillId="2" borderId="0" xfId="0" applyFont="1" applyFill="1" applyBorder="1" applyAlignment="1" applyProtection="1">
      <alignment vertical="center" wrapText="1"/>
      <protection hidden="1"/>
    </xf>
    <xf numFmtId="164" fontId="0" fillId="6" borderId="2" xfId="0" applyNumberFormat="1" applyFill="1" applyBorder="1" applyProtection="1"/>
    <xf numFmtId="0" fontId="22" fillId="0" borderId="4" xfId="0" applyFont="1" applyBorder="1" applyAlignment="1">
      <alignment horizontal="left"/>
    </xf>
    <xf numFmtId="0" fontId="15" fillId="2" borderId="4" xfId="0" applyFont="1" applyFill="1" applyBorder="1" applyAlignment="1" applyProtection="1">
      <alignment vertical="center" wrapText="1"/>
      <protection hidden="1"/>
    </xf>
    <xf numFmtId="0" fontId="15" fillId="2" borderId="6" xfId="0" applyFont="1" applyFill="1" applyBorder="1" applyAlignment="1" applyProtection="1">
      <alignment vertical="center" wrapText="1"/>
      <protection hidden="1"/>
    </xf>
    <xf numFmtId="0" fontId="15" fillId="2" borderId="7" xfId="0" applyFont="1" applyFill="1" applyBorder="1" applyAlignment="1" applyProtection="1">
      <alignment vertical="center" wrapText="1"/>
      <protection hidden="1"/>
    </xf>
    <xf numFmtId="0" fontId="23" fillId="2" borderId="0" xfId="0" applyFont="1" applyFill="1" applyBorder="1" applyAlignment="1"/>
    <xf numFmtId="0" fontId="23" fillId="2" borderId="0" xfId="0" applyFont="1" applyFill="1" applyBorder="1" applyAlignment="1">
      <alignment horizontal="left"/>
    </xf>
    <xf numFmtId="0" fontId="23" fillId="2" borderId="0" xfId="0" applyFont="1" applyFill="1" applyBorder="1" applyAlignment="1" applyProtection="1">
      <protection hidden="1"/>
    </xf>
    <xf numFmtId="0" fontId="23" fillId="2" borderId="0" xfId="0" applyFont="1" applyFill="1" applyBorder="1"/>
    <xf numFmtId="0" fontId="23" fillId="2" borderId="0" xfId="0" applyFont="1" applyFill="1" applyBorder="1" applyAlignment="1" applyProtection="1">
      <alignment horizontal="left"/>
      <protection hidden="1"/>
    </xf>
    <xf numFmtId="0" fontId="0" fillId="7" borderId="2" xfId="0" applyFill="1" applyBorder="1" applyAlignment="1" applyProtection="1"/>
    <xf numFmtId="0" fontId="0" fillId="8" borderId="0" xfId="0" applyFill="1"/>
    <xf numFmtId="0" fontId="11" fillId="7" borderId="2" xfId="0" applyFont="1" applyFill="1" applyBorder="1" applyAlignment="1" applyProtection="1">
      <alignment horizontal="center" vertical="center" wrapText="1"/>
    </xf>
    <xf numFmtId="0" fontId="0" fillId="0" borderId="0" xfId="0"/>
    <xf numFmtId="0" fontId="0" fillId="0" borderId="7" xfId="0" applyBorder="1"/>
    <xf numFmtId="0" fontId="0" fillId="0" borderId="0" xfId="0" applyBorder="1"/>
    <xf numFmtId="0" fontId="0" fillId="8" borderId="0" xfId="0" applyFill="1" applyBorder="1"/>
    <xf numFmtId="0" fontId="3" fillId="2" borderId="0" xfId="0" applyFont="1" applyFill="1" applyBorder="1" applyAlignment="1"/>
    <xf numFmtId="0" fontId="3" fillId="8" borderId="0" xfId="0" applyFont="1" applyFill="1" applyBorder="1"/>
    <xf numFmtId="0" fontId="3" fillId="0" borderId="0" xfId="0" quotePrefix="1" applyFont="1"/>
    <xf numFmtId="0" fontId="0" fillId="8" borderId="7" xfId="0" applyFill="1" applyBorder="1"/>
    <xf numFmtId="0" fontId="3" fillId="0" borderId="0" xfId="0" applyFont="1" applyProtection="1"/>
    <xf numFmtId="0" fontId="3" fillId="0" borderId="0" xfId="0" applyFont="1" applyAlignment="1">
      <alignment horizontal="center" vertical="center"/>
    </xf>
    <xf numFmtId="0" fontId="3" fillId="0" borderId="0" xfId="0" applyFont="1" applyBorder="1" applyProtection="1"/>
    <xf numFmtId="0" fontId="0" fillId="8" borderId="4" xfId="0" applyFill="1" applyBorder="1"/>
    <xf numFmtId="0" fontId="0" fillId="8" borderId="1" xfId="0" applyFill="1" applyBorder="1"/>
    <xf numFmtId="0" fontId="3" fillId="8" borderId="7" xfId="0" applyFont="1" applyFill="1" applyBorder="1" applyAlignment="1">
      <alignment horizontal="center" vertical="top" wrapText="1"/>
    </xf>
    <xf numFmtId="164" fontId="0" fillId="8" borderId="7" xfId="0" applyNumberFormat="1" applyFill="1" applyBorder="1"/>
    <xf numFmtId="0" fontId="24" fillId="2" borderId="0" xfId="0" applyFont="1" applyFill="1" applyBorder="1" applyAlignment="1">
      <alignment vertical="top" wrapText="1"/>
    </xf>
    <xf numFmtId="0" fontId="24" fillId="2" borderId="0" xfId="0" applyFont="1" applyFill="1" applyBorder="1" applyAlignment="1">
      <alignment horizontal="left" vertical="top" wrapText="1"/>
    </xf>
    <xf numFmtId="167" fontId="0" fillId="0" borderId="0" xfId="0" applyNumberFormat="1" applyFill="1" applyBorder="1" applyAlignment="1">
      <alignment horizontal="center"/>
    </xf>
    <xf numFmtId="0" fontId="0" fillId="0" borderId="0" xfId="0" applyFill="1" applyBorder="1" applyAlignment="1">
      <alignment horizontal="left"/>
    </xf>
    <xf numFmtId="0" fontId="0" fillId="9" borderId="2" xfId="0" applyFill="1" applyBorder="1" applyAlignment="1" applyProtection="1">
      <protection locked="0"/>
    </xf>
    <xf numFmtId="0" fontId="0" fillId="9" borderId="2" xfId="0" applyFill="1" applyBorder="1" applyProtection="1">
      <protection locked="0"/>
    </xf>
    <xf numFmtId="0" fontId="3" fillId="9" borderId="2" xfId="0" applyFont="1" applyFill="1" applyBorder="1" applyAlignment="1" applyProtection="1">
      <protection locked="0"/>
    </xf>
    <xf numFmtId="0" fontId="0" fillId="9" borderId="10" xfId="0" applyFill="1" applyBorder="1" applyAlignment="1" applyProtection="1">
      <alignment horizontal="right"/>
      <protection locked="0"/>
    </xf>
    <xf numFmtId="1" fontId="0" fillId="9" borderId="2" xfId="0" applyNumberFormat="1" applyFill="1" applyBorder="1" applyProtection="1">
      <protection locked="0"/>
    </xf>
    <xf numFmtId="0" fontId="3" fillId="0" borderId="0" xfId="0" applyFont="1" applyBorder="1" applyAlignment="1">
      <alignment vertical="center"/>
    </xf>
    <xf numFmtId="0" fontId="21" fillId="2" borderId="0" xfId="0" applyFont="1" applyFill="1" applyBorder="1" applyAlignment="1">
      <alignment horizontal="left" vertical="center" wrapText="1"/>
    </xf>
    <xf numFmtId="0" fontId="0" fillId="2" borderId="0" xfId="0" applyFill="1" applyBorder="1" applyAlignment="1">
      <alignment vertical="center"/>
    </xf>
    <xf numFmtId="0" fontId="0" fillId="2" borderId="4" xfId="0" applyFill="1" applyBorder="1" applyAlignment="1">
      <alignment vertical="center"/>
    </xf>
    <xf numFmtId="0" fontId="3" fillId="2" borderId="0" xfId="0" applyFont="1" applyFill="1" applyBorder="1" applyAlignment="1" applyProtection="1">
      <alignment vertical="center"/>
      <protection locked="0"/>
    </xf>
    <xf numFmtId="0" fontId="3" fillId="9" borderId="2" xfId="0" applyFont="1" applyFill="1" applyBorder="1" applyAlignment="1" applyProtection="1">
      <alignment horizontal="right" vertical="center"/>
      <protection locked="0"/>
    </xf>
    <xf numFmtId="0" fontId="0" fillId="2" borderId="0" xfId="0" applyFill="1" applyBorder="1" applyAlignment="1" applyProtection="1">
      <alignment vertical="center"/>
      <protection hidden="1"/>
    </xf>
    <xf numFmtId="164" fontId="3" fillId="5" borderId="2" xfId="0" applyNumberFormat="1" applyFont="1" applyFill="1" applyBorder="1" applyAlignment="1">
      <alignment vertical="center"/>
    </xf>
    <xf numFmtId="0" fontId="13" fillId="2" borderId="4" xfId="0" applyFont="1" applyFill="1" applyBorder="1" applyAlignment="1" applyProtection="1">
      <alignment horizontal="left" vertical="center" wrapText="1"/>
      <protection hidden="1"/>
    </xf>
    <xf numFmtId="0" fontId="0" fillId="2" borderId="0" xfId="0" applyFill="1" applyAlignment="1">
      <alignment vertical="center"/>
    </xf>
    <xf numFmtId="0" fontId="0" fillId="0" borderId="0" xfId="0" applyAlignment="1">
      <alignment vertical="center"/>
    </xf>
    <xf numFmtId="0" fontId="0" fillId="2" borderId="0" xfId="0" applyFill="1" applyBorder="1" applyAlignment="1" applyProtection="1">
      <alignment vertical="center"/>
      <protection locked="0"/>
    </xf>
    <xf numFmtId="0" fontId="0" fillId="9" borderId="2" xfId="0" applyFill="1" applyBorder="1" applyAlignment="1" applyProtection="1">
      <alignment horizontal="right" vertical="center"/>
      <protection locked="0"/>
    </xf>
    <xf numFmtId="164" fontId="0" fillId="5" borderId="2" xfId="0" applyNumberFormat="1" applyFill="1" applyBorder="1" applyAlignment="1">
      <alignment vertical="center"/>
    </xf>
    <xf numFmtId="0" fontId="0" fillId="9" borderId="2" xfId="0" applyFill="1" applyBorder="1" applyAlignment="1" applyProtection="1">
      <alignment vertical="center"/>
      <protection locked="0"/>
    </xf>
    <xf numFmtId="0" fontId="13" fillId="2" borderId="0" xfId="0" applyFont="1" applyFill="1" applyBorder="1" applyAlignment="1" applyProtection="1">
      <alignment vertical="center" wrapText="1"/>
      <protection hidden="1"/>
    </xf>
    <xf numFmtId="0" fontId="0" fillId="2" borderId="1" xfId="0" applyFill="1" applyBorder="1" applyAlignment="1">
      <alignment vertical="center"/>
    </xf>
    <xf numFmtId="0" fontId="0" fillId="0" borderId="0" xfId="0" applyBorder="1" applyAlignment="1">
      <alignment vertical="center"/>
    </xf>
    <xf numFmtId="0" fontId="0" fillId="0" borderId="0" xfId="0" applyFill="1" applyBorder="1" applyAlignment="1">
      <alignment vertical="center"/>
    </xf>
    <xf numFmtId="0" fontId="0" fillId="0" borderId="0" xfId="0" applyAlignment="1">
      <alignment horizontal="center" vertical="center"/>
    </xf>
    <xf numFmtId="0" fontId="3" fillId="8" borderId="0" xfId="0" applyFont="1" applyFill="1" applyBorder="1" applyAlignment="1">
      <alignment vertical="center"/>
    </xf>
    <xf numFmtId="0" fontId="0" fillId="8" borderId="0" xfId="0" applyFill="1" applyBorder="1" applyAlignment="1">
      <alignment vertical="center"/>
    </xf>
    <xf numFmtId="0" fontId="3" fillId="9" borderId="2" xfId="0" applyFont="1" applyFill="1" applyBorder="1" applyAlignment="1" applyProtection="1">
      <alignment vertical="center"/>
      <protection locked="0"/>
    </xf>
    <xf numFmtId="0" fontId="0" fillId="8" borderId="4" xfId="0" applyFill="1" applyBorder="1" applyAlignment="1">
      <alignment vertical="center"/>
    </xf>
    <xf numFmtId="0" fontId="0" fillId="8" borderId="0" xfId="0" applyFill="1" applyAlignment="1">
      <alignment vertical="center"/>
    </xf>
    <xf numFmtId="0" fontId="0" fillId="2" borderId="0" xfId="0" applyFill="1" applyAlignment="1" applyProtection="1">
      <alignment vertical="center"/>
    </xf>
    <xf numFmtId="0" fontId="0" fillId="0" borderId="0" xfId="0" applyAlignment="1" applyProtection="1">
      <alignment vertical="center"/>
    </xf>
    <xf numFmtId="0" fontId="3" fillId="0" borderId="0" xfId="0" applyFont="1" applyAlignment="1">
      <alignment vertical="center"/>
    </xf>
    <xf numFmtId="0" fontId="0" fillId="0" borderId="0" xfId="0" applyFill="1" applyBorder="1" applyAlignment="1" applyProtection="1">
      <alignment vertical="center"/>
    </xf>
    <xf numFmtId="0" fontId="0" fillId="0" borderId="0" xfId="0" applyFill="1" applyBorder="1" applyAlignment="1" applyProtection="1">
      <alignment horizontal="right" vertical="center"/>
    </xf>
    <xf numFmtId="0" fontId="0" fillId="0" borderId="0" xfId="0" applyFill="1" applyBorder="1" applyAlignment="1" applyProtection="1">
      <alignment horizontal="center" vertical="center"/>
    </xf>
    <xf numFmtId="0" fontId="3" fillId="2" borderId="0" xfId="0" applyFont="1" applyFill="1" applyBorder="1" applyAlignment="1">
      <alignment vertical="center"/>
    </xf>
    <xf numFmtId="0" fontId="4" fillId="2" borderId="0" xfId="0" applyFont="1" applyFill="1" applyBorder="1" applyAlignment="1" applyProtection="1">
      <alignment vertical="center"/>
      <protection hidden="1"/>
    </xf>
    <xf numFmtId="0" fontId="0" fillId="2" borderId="5" xfId="0" applyFill="1" applyBorder="1" applyAlignment="1">
      <alignment horizontal="left" vertical="center"/>
    </xf>
    <xf numFmtId="0" fontId="3" fillId="2" borderId="4" xfId="0" applyFont="1" applyFill="1" applyBorder="1" applyAlignment="1">
      <alignment vertical="center"/>
    </xf>
    <xf numFmtId="0" fontId="3" fillId="2" borderId="0" xfId="0" applyFont="1" applyFill="1" applyAlignment="1">
      <alignment vertical="center"/>
    </xf>
    <xf numFmtId="14" fontId="3" fillId="2" borderId="4" xfId="0" applyNumberFormat="1" applyFont="1" applyFill="1" applyBorder="1" applyAlignment="1">
      <alignment vertical="center"/>
    </xf>
    <xf numFmtId="0" fontId="3" fillId="2" borderId="0" xfId="0" applyFont="1" applyFill="1" applyAlignment="1" applyProtection="1">
      <alignment vertical="center"/>
      <protection locked="0"/>
    </xf>
    <xf numFmtId="14" fontId="3" fillId="2" borderId="6" xfId="0" applyNumberFormat="1" applyFont="1" applyFill="1" applyBorder="1" applyAlignment="1">
      <alignment vertical="center"/>
    </xf>
    <xf numFmtId="0" fontId="3" fillId="2" borderId="7" xfId="0" applyFont="1" applyFill="1" applyBorder="1" applyAlignment="1">
      <alignment vertical="center"/>
    </xf>
    <xf numFmtId="14" fontId="0" fillId="2" borderId="7" xfId="0" applyNumberFormat="1" applyFill="1" applyBorder="1" applyAlignment="1">
      <alignment vertical="center"/>
    </xf>
    <xf numFmtId="0" fontId="0" fillId="2" borderId="7" xfId="0" applyFill="1" applyBorder="1" applyAlignment="1">
      <alignment vertical="center"/>
    </xf>
    <xf numFmtId="0" fontId="0" fillId="2" borderId="5" xfId="0" applyFill="1" applyBorder="1" applyAlignment="1">
      <alignment vertical="center"/>
    </xf>
    <xf numFmtId="0" fontId="0" fillId="2" borderId="11" xfId="0" applyFill="1" applyBorder="1" applyAlignment="1">
      <alignment vertical="center"/>
    </xf>
    <xf numFmtId="0" fontId="0" fillId="2" borderId="0" xfId="0" applyFill="1" applyAlignment="1" applyProtection="1">
      <alignment vertical="center"/>
      <protection locked="0"/>
    </xf>
    <xf numFmtId="14" fontId="0" fillId="2" borderId="4" xfId="0" applyNumberFormat="1" applyFill="1" applyBorder="1" applyAlignment="1">
      <alignment vertical="center"/>
    </xf>
    <xf numFmtId="0" fontId="0" fillId="4" borderId="13" xfId="0" applyFill="1" applyBorder="1" applyAlignment="1" applyProtection="1">
      <alignment vertical="center"/>
      <protection hidden="1"/>
    </xf>
    <xf numFmtId="0" fontId="0" fillId="4" borderId="12" xfId="0" applyFill="1" applyBorder="1" applyAlignment="1" applyProtection="1">
      <alignment vertical="center"/>
      <protection hidden="1"/>
    </xf>
    <xf numFmtId="0" fontId="0" fillId="2" borderId="9" xfId="0" applyFill="1" applyBorder="1" applyAlignment="1" applyProtection="1">
      <alignment vertical="center"/>
      <protection hidden="1"/>
    </xf>
    <xf numFmtId="0" fontId="0" fillId="0" borderId="4" xfId="0" applyBorder="1" applyAlignment="1">
      <alignment vertical="center"/>
    </xf>
    <xf numFmtId="0" fontId="3" fillId="9" borderId="10" xfId="0" applyFont="1" applyFill="1" applyBorder="1" applyAlignment="1" applyProtection="1">
      <alignment horizontal="right" vertical="center"/>
      <protection locked="0"/>
    </xf>
    <xf numFmtId="0" fontId="3" fillId="5" borderId="2" xfId="0" applyFont="1" applyFill="1" applyBorder="1" applyAlignment="1" applyProtection="1">
      <alignment vertical="center"/>
    </xf>
    <xf numFmtId="0" fontId="0" fillId="2" borderId="9" xfId="0" applyFill="1" applyBorder="1" applyAlignment="1">
      <alignment vertical="center"/>
    </xf>
    <xf numFmtId="0" fontId="0" fillId="3" borderId="13" xfId="0" applyFill="1" applyBorder="1" applyAlignment="1">
      <alignment vertical="center"/>
    </xf>
    <xf numFmtId="0" fontId="0" fillId="3" borderId="14" xfId="0" applyFill="1" applyBorder="1" applyAlignment="1">
      <alignment vertical="center"/>
    </xf>
    <xf numFmtId="0" fontId="3" fillId="3" borderId="12" xfId="0" applyFont="1" applyFill="1" applyBorder="1" applyAlignment="1">
      <alignment vertical="center"/>
    </xf>
    <xf numFmtId="0" fontId="3" fillId="5" borderId="2" xfId="0" applyFont="1" applyFill="1" applyBorder="1" applyAlignment="1">
      <alignment vertical="center"/>
    </xf>
    <xf numFmtId="0" fontId="13" fillId="8" borderId="4" xfId="0" applyFont="1" applyFill="1" applyBorder="1" applyAlignment="1" applyProtection="1">
      <alignment horizontal="left" vertical="center" wrapText="1"/>
      <protection hidden="1"/>
    </xf>
    <xf numFmtId="0" fontId="3" fillId="0" borderId="0" xfId="0" applyFont="1" applyAlignment="1" applyProtection="1">
      <alignment vertical="center"/>
    </xf>
    <xf numFmtId="0" fontId="3" fillId="0" borderId="0" xfId="0" applyFont="1" applyBorder="1" applyAlignment="1" applyProtection="1">
      <alignment vertical="center"/>
    </xf>
    <xf numFmtId="0" fontId="13" fillId="2" borderId="7" xfId="0" applyFont="1" applyFill="1" applyBorder="1" applyAlignment="1" applyProtection="1">
      <alignment vertical="center" wrapText="1"/>
      <protection hidden="1"/>
    </xf>
    <xf numFmtId="0" fontId="2" fillId="0" borderId="0" xfId="0" applyFont="1" applyBorder="1" applyAlignment="1" applyProtection="1">
      <alignment vertical="center"/>
      <protection hidden="1"/>
    </xf>
    <xf numFmtId="0" fontId="13" fillId="8" borderId="0" xfId="0" applyFont="1" applyFill="1" applyBorder="1" applyAlignment="1" applyProtection="1">
      <alignment horizontal="left" vertical="center" wrapText="1"/>
      <protection hidden="1"/>
    </xf>
    <xf numFmtId="0" fontId="0" fillId="0" borderId="0" xfId="0" applyBorder="1" applyAlignment="1" applyProtection="1">
      <alignment vertical="center"/>
    </xf>
    <xf numFmtId="14" fontId="14" fillId="2" borderId="3" xfId="0" applyNumberFormat="1" applyFont="1" applyFill="1" applyBorder="1" applyAlignment="1">
      <alignment vertical="center"/>
    </xf>
    <xf numFmtId="14" fontId="0" fillId="2" borderId="5" xfId="0" applyNumberFormat="1" applyFill="1" applyBorder="1" applyAlignment="1">
      <alignment vertical="center"/>
    </xf>
    <xf numFmtId="0" fontId="0" fillId="2" borderId="5" xfId="0" applyFill="1" applyBorder="1" applyAlignment="1" applyProtection="1">
      <alignment vertical="center"/>
      <protection hidden="1"/>
    </xf>
    <xf numFmtId="0" fontId="0" fillId="2" borderId="5" xfId="0" applyFill="1" applyBorder="1" applyAlignment="1" applyProtection="1">
      <alignment horizontal="center" vertical="center"/>
      <protection hidden="1"/>
    </xf>
    <xf numFmtId="0" fontId="13" fillId="2" borderId="5" xfId="0" applyFont="1" applyFill="1" applyBorder="1" applyAlignment="1" applyProtection="1">
      <alignment vertical="center" wrapText="1"/>
      <protection hidden="1"/>
    </xf>
    <xf numFmtId="14" fontId="2" fillId="2" borderId="4" xfId="0" applyNumberFormat="1" applyFont="1" applyFill="1" applyBorder="1" applyAlignment="1">
      <alignment vertical="center"/>
    </xf>
    <xf numFmtId="14" fontId="0" fillId="2" borderId="0" xfId="0" applyNumberFormat="1" applyFill="1" applyBorder="1" applyAlignment="1">
      <alignment vertical="center"/>
    </xf>
    <xf numFmtId="0" fontId="0" fillId="0" borderId="0" xfId="0" applyBorder="1" applyAlignment="1" applyProtection="1">
      <alignment horizontal="center" vertical="center"/>
    </xf>
    <xf numFmtId="0" fontId="13" fillId="2" borderId="0" xfId="0" applyFont="1" applyFill="1" applyBorder="1" applyAlignment="1">
      <alignment vertical="center" wrapText="1"/>
    </xf>
    <xf numFmtId="0" fontId="0" fillId="2" borderId="0" xfId="0" quotePrefix="1" applyFill="1" applyAlignment="1" applyProtection="1">
      <alignment vertical="center"/>
    </xf>
    <xf numFmtId="0" fontId="0" fillId="2" borderId="0" xfId="0" applyFill="1" applyBorder="1" applyAlignment="1" applyProtection="1">
      <alignment vertical="center"/>
    </xf>
    <xf numFmtId="165" fontId="3" fillId="5" borderId="2" xfId="0" applyNumberFormat="1" applyFont="1" applyFill="1" applyBorder="1" applyAlignment="1">
      <alignment vertical="center"/>
    </xf>
    <xf numFmtId="0" fontId="0" fillId="2" borderId="1" xfId="0" applyFill="1" applyBorder="1" applyAlignment="1" applyProtection="1">
      <alignment vertical="center"/>
      <protection hidden="1"/>
    </xf>
    <xf numFmtId="0" fontId="2" fillId="2" borderId="0" xfId="0" applyFont="1" applyFill="1" applyBorder="1" applyAlignment="1">
      <alignment horizontal="center" vertical="center"/>
    </xf>
    <xf numFmtId="0" fontId="0" fillId="0" borderId="0" xfId="0" applyAlignment="1" applyProtection="1">
      <alignment vertical="center"/>
      <protection locked="0"/>
    </xf>
    <xf numFmtId="0" fontId="3" fillId="0" borderId="0" xfId="0" quotePrefix="1" applyFont="1" applyAlignment="1">
      <alignment vertical="center"/>
    </xf>
    <xf numFmtId="0" fontId="0" fillId="0" borderId="0" xfId="0" quotePrefix="1" applyFill="1" applyBorder="1" applyAlignment="1" applyProtection="1">
      <alignment horizontal="left" vertical="center"/>
    </xf>
    <xf numFmtId="0" fontId="0" fillId="2" borderId="0" xfId="0" applyFill="1" applyBorder="1" applyAlignment="1">
      <alignment horizontal="left" vertical="center"/>
    </xf>
    <xf numFmtId="0" fontId="10" fillId="2" borderId="0" xfId="0" applyFont="1" applyFill="1" applyBorder="1" applyAlignment="1">
      <alignment horizontal="left" vertical="center" wrapText="1"/>
    </xf>
    <xf numFmtId="164" fontId="0" fillId="2" borderId="0" xfId="0" applyNumberFormat="1" applyFill="1" applyBorder="1" applyAlignment="1" applyProtection="1">
      <alignment vertical="center"/>
      <protection hidden="1"/>
    </xf>
    <xf numFmtId="0" fontId="3" fillId="2" borderId="4" xfId="0" applyFont="1" applyFill="1" applyBorder="1" applyAlignment="1">
      <alignment horizontal="left" vertical="center"/>
    </xf>
    <xf numFmtId="0" fontId="3" fillId="2" borderId="0" xfId="0" applyFont="1" applyFill="1" applyBorder="1" applyAlignment="1" applyProtection="1">
      <alignment vertical="center"/>
      <protection hidden="1"/>
    </xf>
    <xf numFmtId="0" fontId="16" fillId="2" borderId="0" xfId="0" applyFont="1" applyFill="1" applyBorder="1" applyAlignment="1">
      <alignment vertical="center"/>
    </xf>
    <xf numFmtId="0" fontId="3" fillId="6" borderId="2" xfId="0" applyFont="1" applyFill="1" applyBorder="1" applyAlignment="1">
      <alignment vertical="center"/>
    </xf>
    <xf numFmtId="1" fontId="3" fillId="5" borderId="2" xfId="0" applyNumberFormat="1" applyFont="1" applyFill="1" applyBorder="1" applyAlignment="1">
      <alignment vertical="center"/>
    </xf>
    <xf numFmtId="1" fontId="3" fillId="9" borderId="2" xfId="0" applyNumberFormat="1" applyFont="1" applyFill="1" applyBorder="1" applyAlignment="1" applyProtection="1">
      <alignment vertical="center"/>
      <protection locked="0"/>
    </xf>
    <xf numFmtId="0" fontId="0" fillId="2" borderId="6" xfId="0" applyFill="1" applyBorder="1" applyAlignment="1">
      <alignment vertical="center"/>
    </xf>
    <xf numFmtId="0" fontId="0" fillId="8" borderId="7" xfId="0" applyFill="1" applyBorder="1" applyAlignment="1">
      <alignment vertical="center"/>
    </xf>
    <xf numFmtId="1" fontId="0" fillId="8" borderId="7" xfId="0" applyNumberFormat="1" applyFill="1" applyBorder="1" applyAlignment="1">
      <alignment vertical="center"/>
    </xf>
    <xf numFmtId="0" fontId="0" fillId="2" borderId="8" xfId="0" applyFill="1" applyBorder="1" applyAlignment="1">
      <alignment vertical="center"/>
    </xf>
    <xf numFmtId="0" fontId="15" fillId="2" borderId="0" xfId="0" applyFont="1" applyFill="1" applyBorder="1" applyAlignment="1">
      <alignment horizontal="left" vertical="center" wrapText="1"/>
    </xf>
    <xf numFmtId="0" fontId="15" fillId="2" borderId="5" xfId="0" applyFont="1" applyFill="1" applyBorder="1" applyAlignment="1" applyProtection="1">
      <alignment vertical="center" wrapText="1"/>
      <protection hidden="1"/>
    </xf>
    <xf numFmtId="0" fontId="2" fillId="2" borderId="4" xfId="0" applyFont="1" applyFill="1" applyBorder="1" applyAlignment="1" applyProtection="1">
      <alignment vertical="center"/>
      <protection hidden="1"/>
    </xf>
    <xf numFmtId="0" fontId="12" fillId="2" borderId="0" xfId="0" applyFont="1" applyFill="1" applyBorder="1" applyAlignment="1">
      <alignment vertical="center" wrapText="1"/>
    </xf>
    <xf numFmtId="0" fontId="0" fillId="2" borderId="0" xfId="0" applyFill="1" applyBorder="1" applyAlignment="1" applyProtection="1">
      <alignment horizontal="left" vertical="center"/>
      <protection hidden="1"/>
    </xf>
    <xf numFmtId="164" fontId="0" fillId="6" borderId="2" xfId="0" applyNumberFormat="1" applyFill="1" applyBorder="1" applyAlignment="1" applyProtection="1">
      <alignment vertical="center"/>
      <protection hidden="1"/>
    </xf>
    <xf numFmtId="0" fontId="3" fillId="2" borderId="0" xfId="0" applyFont="1" applyFill="1" applyBorder="1" applyAlignment="1">
      <alignment horizontal="left" vertical="center"/>
    </xf>
    <xf numFmtId="1" fontId="0" fillId="5" borderId="2" xfId="0" applyNumberFormat="1" applyFill="1" applyBorder="1" applyAlignment="1" applyProtection="1">
      <alignment vertical="center"/>
    </xf>
    <xf numFmtId="0" fontId="0" fillId="4" borderId="2" xfId="0" applyFill="1" applyBorder="1" applyAlignment="1" applyProtection="1">
      <alignment vertical="center"/>
    </xf>
    <xf numFmtId="164" fontId="0" fillId="6" borderId="2" xfId="0" applyNumberFormat="1" applyFill="1" applyBorder="1" applyAlignment="1">
      <alignment vertical="center"/>
    </xf>
    <xf numFmtId="0" fontId="0" fillId="3" borderId="2" xfId="0" applyFill="1" applyBorder="1" applyAlignment="1" applyProtection="1">
      <alignment vertical="center"/>
    </xf>
    <xf numFmtId="0" fontId="3" fillId="2" borderId="0" xfId="0" applyFont="1" applyFill="1" applyBorder="1" applyAlignment="1" applyProtection="1">
      <alignment horizontal="left" vertical="center"/>
      <protection hidden="1"/>
    </xf>
    <xf numFmtId="0" fontId="2" fillId="2" borderId="0" xfId="0" applyFont="1" applyFill="1" applyBorder="1" applyAlignment="1" applyProtection="1">
      <alignment horizontal="left" vertical="center"/>
      <protection hidden="1"/>
    </xf>
    <xf numFmtId="164" fontId="0" fillId="4" borderId="2" xfId="0" applyNumberFormat="1" applyFill="1" applyBorder="1" applyAlignment="1" applyProtection="1">
      <alignment vertical="center"/>
      <protection hidden="1"/>
    </xf>
    <xf numFmtId="1" fontId="0" fillId="3" borderId="2" xfId="0" applyNumberFormat="1" applyFill="1" applyBorder="1" applyAlignment="1" applyProtection="1">
      <alignment vertical="center"/>
    </xf>
    <xf numFmtId="0" fontId="0" fillId="2" borderId="4" xfId="0" applyFill="1" applyBorder="1" applyAlignment="1" applyProtection="1">
      <alignment vertical="center"/>
      <protection hidden="1"/>
    </xf>
    <xf numFmtId="0" fontId="0" fillId="0" borderId="4" xfId="0" applyBorder="1" applyAlignment="1">
      <alignment horizontal="left" vertical="center"/>
    </xf>
    <xf numFmtId="0" fontId="0" fillId="0" borderId="0" xfId="0" applyBorder="1" applyAlignment="1">
      <alignment horizontal="right" vertical="center"/>
    </xf>
    <xf numFmtId="0" fontId="0" fillId="2" borderId="0" xfId="0" applyFill="1" applyBorder="1" applyAlignment="1">
      <alignment horizontal="right" vertical="center"/>
    </xf>
    <xf numFmtId="0" fontId="0" fillId="6" borderId="2" xfId="0" applyFill="1" applyBorder="1" applyAlignment="1">
      <alignment horizontal="right" vertical="center"/>
    </xf>
    <xf numFmtId="1" fontId="0" fillId="3" borderId="2" xfId="0" applyNumberFormat="1" applyFill="1" applyBorder="1" applyAlignment="1">
      <alignment horizontal="right" vertical="center"/>
    </xf>
    <xf numFmtId="0" fontId="0" fillId="0" borderId="0" xfId="0" applyBorder="1" applyAlignment="1">
      <alignment horizontal="left" vertical="center"/>
    </xf>
    <xf numFmtId="164" fontId="0" fillId="6" borderId="2" xfId="0" applyNumberFormat="1" applyFill="1" applyBorder="1" applyAlignment="1">
      <alignment horizontal="right" vertical="center"/>
    </xf>
    <xf numFmtId="0" fontId="10" fillId="2" borderId="0" xfId="0" applyFont="1" applyFill="1" applyBorder="1" applyAlignment="1" applyProtection="1">
      <alignment vertical="center" wrapText="1"/>
      <protection hidden="1"/>
    </xf>
    <xf numFmtId="0" fontId="0" fillId="6" borderId="2" xfId="0" applyFill="1" applyBorder="1" applyAlignment="1" applyProtection="1">
      <alignment horizontal="right" vertical="center"/>
    </xf>
    <xf numFmtId="164" fontId="0" fillId="4" borderId="2" xfId="0" applyNumberFormat="1" applyFill="1" applyBorder="1" applyAlignment="1">
      <alignment horizontal="right" vertical="center"/>
    </xf>
    <xf numFmtId="0" fontId="15" fillId="2" borderId="7" xfId="0" applyFont="1" applyFill="1" applyBorder="1" applyAlignment="1">
      <alignment vertical="center" wrapText="1"/>
    </xf>
    <xf numFmtId="0" fontId="15" fillId="2" borderId="8" xfId="0" applyFont="1" applyFill="1" applyBorder="1" applyAlignment="1">
      <alignment vertical="center" wrapText="1"/>
    </xf>
    <xf numFmtId="0" fontId="10" fillId="2" borderId="5" xfId="0" applyFont="1" applyFill="1" applyBorder="1" applyAlignment="1" applyProtection="1">
      <alignment vertical="center" wrapText="1"/>
      <protection hidden="1"/>
    </xf>
    <xf numFmtId="0" fontId="3" fillId="8" borderId="0" xfId="0" applyFont="1" applyFill="1" applyAlignment="1">
      <alignment vertical="center"/>
    </xf>
    <xf numFmtId="164" fontId="0" fillId="6" borderId="2" xfId="0" applyNumberFormat="1" applyFill="1" applyBorder="1" applyAlignment="1" applyProtection="1">
      <alignment vertical="center"/>
    </xf>
    <xf numFmtId="0" fontId="3" fillId="10" borderId="0" xfId="0" applyFont="1" applyFill="1" applyAlignment="1">
      <alignment vertical="center"/>
    </xf>
    <xf numFmtId="0" fontId="2" fillId="0" borderId="0" xfId="0" applyFont="1" applyBorder="1" applyAlignment="1">
      <alignment vertical="center"/>
    </xf>
    <xf numFmtId="0" fontId="0" fillId="6" borderId="2" xfId="0" applyFill="1" applyBorder="1" applyAlignment="1">
      <alignment vertical="center"/>
    </xf>
    <xf numFmtId="0" fontId="0" fillId="8" borderId="0" xfId="0" applyFill="1" applyBorder="1" applyAlignment="1" applyProtection="1">
      <alignment vertical="center"/>
      <protection hidden="1"/>
    </xf>
    <xf numFmtId="0" fontId="0" fillId="6" borderId="2" xfId="0" applyFill="1" applyBorder="1" applyAlignment="1" applyProtection="1">
      <alignment vertical="center"/>
    </xf>
    <xf numFmtId="164" fontId="0" fillId="5" borderId="2" xfId="0" applyNumberFormat="1" applyFill="1" applyBorder="1" applyAlignment="1" applyProtection="1">
      <alignment vertical="center"/>
    </xf>
    <xf numFmtId="0" fontId="0" fillId="0" borderId="1" xfId="0" applyBorder="1" applyAlignment="1">
      <alignment vertical="center"/>
    </xf>
    <xf numFmtId="0" fontId="3" fillId="8" borderId="0" xfId="0" applyFont="1" applyFill="1" applyBorder="1" applyAlignment="1" applyProtection="1">
      <alignment vertical="center"/>
      <protection hidden="1"/>
    </xf>
    <xf numFmtId="0" fontId="2" fillId="2" borderId="0" xfId="0" applyFont="1" applyFill="1" applyBorder="1" applyAlignment="1" applyProtection="1">
      <alignment vertical="center"/>
      <protection hidden="1"/>
    </xf>
    <xf numFmtId="164" fontId="3" fillId="6" borderId="2" xfId="0" applyNumberFormat="1" applyFont="1" applyFill="1" applyBorder="1" applyAlignment="1" applyProtection="1">
      <alignment vertical="center"/>
    </xf>
    <xf numFmtId="0" fontId="3" fillId="3" borderId="13" xfId="0" applyFont="1" applyFill="1" applyBorder="1" applyAlignment="1"/>
    <xf numFmtId="0" fontId="20" fillId="3" borderId="14" xfId="0" applyFont="1" applyFill="1" applyBorder="1" applyAlignment="1"/>
    <xf numFmtId="0" fontId="6" fillId="3" borderId="12" xfId="0" applyFont="1" applyFill="1" applyBorder="1" applyAlignment="1"/>
    <xf numFmtId="164" fontId="3" fillId="4" borderId="2" xfId="0" applyNumberFormat="1" applyFont="1" applyFill="1" applyBorder="1" applyAlignment="1" applyProtection="1"/>
    <xf numFmtId="0" fontId="0" fillId="8" borderId="4" xfId="0" applyFill="1" applyBorder="1" applyAlignment="1"/>
    <xf numFmtId="0" fontId="0" fillId="8" borderId="0" xfId="0" applyFill="1" applyAlignment="1"/>
    <xf numFmtId="0" fontId="0" fillId="0" borderId="0" xfId="0" applyAlignment="1"/>
    <xf numFmtId="0" fontId="0" fillId="2" borderId="0" xfId="0" applyFill="1" applyAlignment="1" applyProtection="1"/>
    <xf numFmtId="0" fontId="0" fillId="0" borderId="0" xfId="0" applyAlignment="1" applyProtection="1"/>
    <xf numFmtId="0" fontId="0" fillId="0" borderId="0" xfId="0" applyFill="1" applyBorder="1" applyAlignment="1" applyProtection="1"/>
    <xf numFmtId="164" fontId="0" fillId="9" borderId="2" xfId="0" applyNumberFormat="1" applyFill="1" applyBorder="1" applyAlignment="1" applyProtection="1">
      <alignment vertical="center"/>
      <protection locked="0"/>
    </xf>
    <xf numFmtId="0" fontId="1" fillId="8" borderId="0" xfId="0" applyFont="1" applyFill="1" applyAlignment="1">
      <alignment vertical="center"/>
    </xf>
    <xf numFmtId="0" fontId="1" fillId="0" borderId="0" xfId="0" applyFont="1" applyAlignment="1">
      <alignment vertical="center"/>
    </xf>
    <xf numFmtId="0" fontId="1" fillId="9" borderId="2" xfId="0" applyFont="1" applyFill="1" applyBorder="1" applyAlignment="1" applyProtection="1">
      <alignment vertical="center"/>
      <protection locked="0"/>
    </xf>
    <xf numFmtId="0" fontId="1" fillId="2" borderId="0" xfId="0" applyFont="1" applyFill="1" applyBorder="1" applyAlignment="1" applyProtection="1">
      <alignment vertical="center"/>
      <protection hidden="1"/>
    </xf>
    <xf numFmtId="0" fontId="1" fillId="2" borderId="0" xfId="0" applyFont="1" applyFill="1" applyBorder="1" applyAlignment="1" applyProtection="1">
      <protection hidden="1"/>
    </xf>
    <xf numFmtId="0" fontId="3" fillId="9" borderId="10" xfId="0" applyFont="1" applyFill="1" applyBorder="1" applyAlignment="1" applyProtection="1">
      <alignment vertical="center"/>
      <protection locked="0"/>
    </xf>
    <xf numFmtId="0" fontId="3" fillId="9" borderId="10" xfId="0" applyFont="1" applyFill="1" applyBorder="1" applyAlignment="1" applyProtection="1">
      <protection locked="0"/>
    </xf>
    <xf numFmtId="0" fontId="0" fillId="8" borderId="0" xfId="0" applyFill="1" applyAlignment="1" applyProtection="1">
      <protection locked="0"/>
    </xf>
    <xf numFmtId="0" fontId="0" fillId="8" borderId="0" xfId="0" applyFill="1" applyAlignment="1" applyProtection="1">
      <alignment vertical="center"/>
      <protection locked="0"/>
    </xf>
    <xf numFmtId="0" fontId="0" fillId="2" borderId="0" xfId="0" applyFill="1" applyBorder="1" applyAlignment="1" applyProtection="1">
      <protection locked="0"/>
    </xf>
    <xf numFmtId="164" fontId="3" fillId="5" borderId="2" xfId="0" applyNumberFormat="1" applyFont="1" applyFill="1" applyBorder="1" applyAlignment="1" applyProtection="1">
      <alignment vertical="center"/>
    </xf>
    <xf numFmtId="0" fontId="13" fillId="2" borderId="11" xfId="0" applyFont="1" applyFill="1" applyBorder="1" applyAlignment="1" applyProtection="1">
      <alignment vertical="center" wrapText="1"/>
    </xf>
    <xf numFmtId="0" fontId="0" fillId="2" borderId="1" xfId="0" applyFill="1" applyBorder="1" applyAlignment="1" applyProtection="1">
      <alignment vertical="center"/>
    </xf>
    <xf numFmtId="0" fontId="0" fillId="8" borderId="1" xfId="0" applyFill="1" applyBorder="1" applyAlignment="1" applyProtection="1">
      <alignment vertical="center"/>
    </xf>
    <xf numFmtId="0" fontId="0" fillId="2" borderId="1" xfId="0" applyFill="1" applyBorder="1" applyAlignment="1" applyProtection="1"/>
    <xf numFmtId="0" fontId="0" fillId="2" borderId="8" xfId="0" applyFill="1" applyBorder="1" applyAlignment="1" applyProtection="1">
      <alignment vertical="center"/>
    </xf>
    <xf numFmtId="0" fontId="1" fillId="2" borderId="0" xfId="0" applyFont="1" applyFill="1" applyAlignment="1" applyProtection="1">
      <alignment vertical="center"/>
    </xf>
    <xf numFmtId="0" fontId="1" fillId="2" borderId="0" xfId="0" applyFont="1" applyFill="1" applyBorder="1" applyAlignment="1">
      <alignment vertical="center"/>
    </xf>
    <xf numFmtId="0" fontId="1" fillId="2" borderId="0" xfId="0" applyFont="1" applyFill="1" applyBorder="1"/>
    <xf numFmtId="164" fontId="26" fillId="9" borderId="2" xfId="0" applyNumberFormat="1" applyFont="1" applyFill="1" applyBorder="1" applyAlignment="1" applyProtection="1">
      <alignment horizontal="center" wrapText="1"/>
      <protection locked="0"/>
    </xf>
    <xf numFmtId="164" fontId="26" fillId="5" borderId="2" xfId="0" applyNumberFormat="1" applyFont="1" applyFill="1" applyBorder="1" applyAlignment="1">
      <alignment horizontal="center" wrapText="1"/>
    </xf>
    <xf numFmtId="164" fontId="26" fillId="9" borderId="2" xfId="0" applyNumberFormat="1" applyFont="1" applyFill="1" applyBorder="1" applyAlignment="1" applyProtection="1">
      <alignment horizontal="center"/>
      <protection locked="0"/>
    </xf>
    <xf numFmtId="0" fontId="27" fillId="2" borderId="0" xfId="0" quotePrefix="1" applyFont="1" applyFill="1" applyBorder="1" applyAlignment="1">
      <alignment horizontal="center"/>
    </xf>
    <xf numFmtId="1" fontId="26" fillId="9" borderId="2" xfId="0" applyNumberFormat="1" applyFont="1" applyFill="1" applyBorder="1" applyAlignment="1" applyProtection="1">
      <alignment horizontal="center" wrapText="1"/>
      <protection locked="0"/>
    </xf>
    <xf numFmtId="166" fontId="26" fillId="5" borderId="2" xfId="0" applyNumberFormat="1" applyFont="1" applyFill="1" applyBorder="1" applyAlignment="1">
      <alignment horizontal="center"/>
    </xf>
    <xf numFmtId="164" fontId="26" fillId="2" borderId="0" xfId="0" applyNumberFormat="1" applyFont="1" applyFill="1" applyBorder="1" applyAlignment="1">
      <alignment horizontal="center" wrapText="1"/>
    </xf>
    <xf numFmtId="0" fontId="26" fillId="2" borderId="2" xfId="0" applyFont="1" applyFill="1" applyBorder="1" applyAlignment="1">
      <alignment horizontal="center" shrinkToFit="1"/>
    </xf>
    <xf numFmtId="0" fontId="26" fillId="2" borderId="0" xfId="0" applyFont="1" applyFill="1" applyBorder="1"/>
    <xf numFmtId="1" fontId="26" fillId="9" borderId="2" xfId="0" applyNumberFormat="1" applyFont="1" applyFill="1" applyBorder="1" applyAlignment="1" applyProtection="1">
      <alignment horizontal="center"/>
      <protection locked="0"/>
    </xf>
    <xf numFmtId="0" fontId="26" fillId="2" borderId="2" xfId="0" applyFont="1" applyFill="1" applyBorder="1" applyAlignment="1">
      <alignment horizontal="center"/>
    </xf>
    <xf numFmtId="0" fontId="26" fillId="2" borderId="9" xfId="0" applyFont="1" applyFill="1" applyBorder="1"/>
    <xf numFmtId="0" fontId="26" fillId="9" borderId="2" xfId="0" applyFont="1" applyFill="1" applyBorder="1" applyProtection="1">
      <protection locked="0"/>
    </xf>
    <xf numFmtId="0" fontId="26" fillId="5" borderId="2" xfId="0" applyFont="1" applyFill="1" applyBorder="1"/>
    <xf numFmtId="164" fontId="26" fillId="5" borderId="2" xfId="0" applyNumberFormat="1" applyFont="1" applyFill="1" applyBorder="1"/>
    <xf numFmtId="164" fontId="26" fillId="4" borderId="2" xfId="0" applyNumberFormat="1" applyFont="1" applyFill="1" applyBorder="1" applyProtection="1"/>
    <xf numFmtId="1" fontId="26" fillId="6" borderId="2" xfId="0" applyNumberFormat="1" applyFont="1" applyFill="1" applyBorder="1"/>
    <xf numFmtId="0" fontId="26" fillId="2" borderId="1" xfId="0" applyFont="1" applyFill="1" applyBorder="1"/>
    <xf numFmtId="0" fontId="26" fillId="0" borderId="1" xfId="0" applyFont="1" applyBorder="1"/>
    <xf numFmtId="1" fontId="26" fillId="5" borderId="12" xfId="0" applyNumberFormat="1" applyFont="1" applyFill="1" applyBorder="1"/>
    <xf numFmtId="0" fontId="26" fillId="2" borderId="12" xfId="0" applyFont="1" applyFill="1" applyBorder="1" applyAlignment="1">
      <alignment horizontal="center"/>
    </xf>
    <xf numFmtId="164" fontId="26" fillId="5" borderId="12" xfId="0" applyNumberFormat="1" applyFont="1" applyFill="1" applyBorder="1"/>
    <xf numFmtId="0" fontId="26" fillId="2" borderId="15" xfId="0" applyFont="1" applyFill="1" applyBorder="1" applyAlignment="1">
      <alignment horizontal="center" vertical="center" wrapText="1"/>
    </xf>
    <xf numFmtId="0" fontId="26" fillId="2" borderId="2" xfId="0" applyFont="1" applyFill="1" applyBorder="1" applyAlignment="1">
      <alignment horizontal="center" vertical="center" wrapText="1"/>
    </xf>
    <xf numFmtId="0" fontId="26" fillId="2" borderId="9" xfId="0" applyFont="1" applyFill="1" applyBorder="1" applyAlignment="1">
      <alignment horizontal="center" vertical="top" wrapText="1"/>
    </xf>
    <xf numFmtId="0" fontId="26" fillId="2" borderId="2" xfId="0" applyFont="1" applyFill="1" applyBorder="1" applyAlignment="1">
      <alignment horizontal="center" vertical="center"/>
    </xf>
    <xf numFmtId="0" fontId="28" fillId="2" borderId="0" xfId="0" applyFont="1" applyFill="1" applyBorder="1" applyAlignment="1">
      <alignment horizontal="left"/>
    </xf>
    <xf numFmtId="0" fontId="26" fillId="2" borderId="0" xfId="0" applyFont="1" applyFill="1" applyBorder="1" applyProtection="1">
      <protection locked="0"/>
    </xf>
    <xf numFmtId="0" fontId="26" fillId="9" borderId="10" xfId="0" applyFont="1" applyFill="1" applyBorder="1" applyProtection="1">
      <protection locked="0"/>
    </xf>
    <xf numFmtId="0" fontId="26" fillId="2" borderId="0" xfId="0" applyFont="1" applyFill="1" applyBorder="1" applyAlignment="1" applyProtection="1">
      <alignment vertical="center"/>
      <protection locked="0"/>
    </xf>
    <xf numFmtId="0" fontId="26" fillId="9" borderId="2" xfId="0" applyFont="1" applyFill="1" applyBorder="1" applyAlignment="1" applyProtection="1">
      <alignment vertical="center"/>
      <protection locked="0"/>
    </xf>
    <xf numFmtId="0" fontId="26" fillId="3" borderId="12" xfId="0" applyFont="1" applyFill="1" applyBorder="1"/>
    <xf numFmtId="0" fontId="26" fillId="2" borderId="0" xfId="0" applyFont="1" applyFill="1" applyBorder="1" applyAlignment="1">
      <alignment horizontal="left"/>
    </xf>
    <xf numFmtId="0" fontId="26" fillId="9" borderId="2" xfId="0" applyFont="1" applyFill="1" applyBorder="1" applyAlignment="1" applyProtection="1">
      <protection locked="0"/>
    </xf>
    <xf numFmtId="164" fontId="26" fillId="5" borderId="2" xfId="0" applyNumberFormat="1" applyFont="1" applyFill="1" applyBorder="1" applyAlignment="1">
      <alignment vertical="center"/>
    </xf>
    <xf numFmtId="0" fontId="26" fillId="5" borderId="2" xfId="0" applyFont="1" applyFill="1" applyBorder="1" applyProtection="1"/>
    <xf numFmtId="14" fontId="26" fillId="2" borderId="0" xfId="0" applyNumberFormat="1" applyFont="1" applyFill="1" applyBorder="1"/>
    <xf numFmtId="0" fontId="27" fillId="2" borderId="0" xfId="0" applyFont="1" applyFill="1" applyBorder="1" applyAlignment="1">
      <alignment vertical="center"/>
    </xf>
    <xf numFmtId="0" fontId="26" fillId="2" borderId="0" xfId="0" applyFont="1" applyFill="1" applyBorder="1" applyAlignment="1">
      <alignment vertical="center" wrapText="1" shrinkToFit="1"/>
    </xf>
    <xf numFmtId="0" fontId="26" fillId="0" borderId="0" xfId="0" applyFont="1" applyBorder="1"/>
    <xf numFmtId="0" fontId="26" fillId="2" borderId="0" xfId="0" applyFont="1" applyFill="1" applyBorder="1" applyAlignment="1">
      <alignment vertical="center"/>
    </xf>
    <xf numFmtId="0" fontId="26" fillId="3" borderId="13" xfId="0" applyFont="1" applyFill="1" applyBorder="1"/>
    <xf numFmtId="0" fontId="26" fillId="3" borderId="14" xfId="0" applyFont="1" applyFill="1" applyBorder="1"/>
    <xf numFmtId="0" fontId="26" fillId="2" borderId="0" xfId="0" applyFont="1" applyFill="1" applyBorder="1" applyAlignment="1" applyProtection="1">
      <protection hidden="1"/>
    </xf>
    <xf numFmtId="0" fontId="26" fillId="2" borderId="0" xfId="0" applyFont="1" applyFill="1" applyBorder="1" applyAlignment="1"/>
    <xf numFmtId="0" fontId="26" fillId="2" borderId="0" xfId="0" applyFont="1" applyFill="1" applyBorder="1" applyAlignment="1" applyProtection="1">
      <alignment vertical="center"/>
      <protection hidden="1"/>
    </xf>
    <xf numFmtId="0" fontId="26" fillId="4" borderId="13" xfId="0" applyFont="1" applyFill="1" applyBorder="1" applyAlignment="1" applyProtection="1">
      <protection hidden="1"/>
    </xf>
    <xf numFmtId="0" fontId="26" fillId="4" borderId="12" xfId="0" applyFont="1" applyFill="1" applyBorder="1" applyAlignment="1" applyProtection="1">
      <protection hidden="1"/>
    </xf>
    <xf numFmtId="14" fontId="27" fillId="2" borderId="0" xfId="0" applyNumberFormat="1" applyFont="1" applyFill="1" applyBorder="1"/>
    <xf numFmtId="14" fontId="26" fillId="2" borderId="0" xfId="0" applyNumberFormat="1" applyFont="1" applyFill="1" applyBorder="1" applyAlignment="1"/>
    <xf numFmtId="0" fontId="31" fillId="2" borderId="0" xfId="0" applyFont="1" applyFill="1" applyBorder="1" applyAlignment="1">
      <alignment vertical="top" wrapText="1"/>
    </xf>
    <xf numFmtId="0" fontId="26" fillId="2" borderId="0" xfId="0" applyFont="1" applyFill="1" applyBorder="1" applyAlignment="1">
      <alignment horizontal="left" vertical="top"/>
    </xf>
    <xf numFmtId="0" fontId="27" fillId="2" borderId="0" xfId="0" applyFont="1" applyFill="1" applyBorder="1"/>
    <xf numFmtId="0" fontId="26" fillId="8" borderId="0" xfId="0" applyFont="1" applyFill="1" applyBorder="1"/>
    <xf numFmtId="0" fontId="26" fillId="8" borderId="7" xfId="0" applyFont="1" applyFill="1" applyBorder="1"/>
    <xf numFmtId="0" fontId="26" fillId="3" borderId="13" xfId="0" applyFont="1" applyFill="1" applyBorder="1" applyAlignment="1">
      <alignment horizontal="left"/>
    </xf>
    <xf numFmtId="0" fontId="27" fillId="2" borderId="0" xfId="0" applyFont="1" applyFill="1" applyBorder="1" applyAlignment="1"/>
    <xf numFmtId="0" fontId="26" fillId="2" borderId="1" xfId="0" applyFont="1" applyFill="1" applyBorder="1" applyAlignment="1"/>
    <xf numFmtId="0" fontId="31" fillId="2" borderId="1" xfId="0" applyFont="1" applyFill="1" applyBorder="1" applyAlignment="1">
      <alignment vertical="top" wrapText="1"/>
    </xf>
    <xf numFmtId="0" fontId="27" fillId="2" borderId="0" xfId="0" applyFont="1" applyFill="1" applyBorder="1" applyAlignment="1">
      <alignment horizontal="left"/>
    </xf>
    <xf numFmtId="0" fontId="27" fillId="0" borderId="0" xfId="0" applyFont="1" applyBorder="1" applyAlignment="1">
      <alignment horizontal="left"/>
    </xf>
    <xf numFmtId="0" fontId="26" fillId="5" borderId="2" xfId="0" applyFont="1" applyFill="1" applyBorder="1" applyAlignment="1">
      <alignment vertical="center"/>
    </xf>
    <xf numFmtId="165" fontId="26" fillId="5" borderId="2" xfId="0" applyNumberFormat="1" applyFont="1" applyFill="1" applyBorder="1" applyAlignment="1">
      <alignment vertical="center"/>
    </xf>
    <xf numFmtId="0" fontId="26" fillId="8" borderId="0" xfId="0" applyFont="1" applyFill="1" applyAlignment="1">
      <alignment vertical="center"/>
    </xf>
    <xf numFmtId="167" fontId="26" fillId="7" borderId="2" xfId="0" applyNumberFormat="1" applyFont="1" applyFill="1" applyBorder="1" applyAlignment="1">
      <alignment vertical="center"/>
    </xf>
    <xf numFmtId="0" fontId="26" fillId="2" borderId="0" xfId="0" applyFont="1" applyFill="1" applyBorder="1" applyAlignment="1">
      <alignment horizontal="left" vertical="center"/>
    </xf>
    <xf numFmtId="0" fontId="31" fillId="2" borderId="0" xfId="0" applyFont="1" applyFill="1" applyBorder="1" applyAlignment="1">
      <alignment horizontal="left" vertical="center" wrapText="1"/>
    </xf>
    <xf numFmtId="1" fontId="26" fillId="9" borderId="2" xfId="0" applyNumberFormat="1" applyFont="1" applyFill="1" applyBorder="1" applyAlignment="1" applyProtection="1">
      <alignment vertical="center"/>
      <protection locked="0"/>
    </xf>
    <xf numFmtId="1" fontId="26" fillId="5" borderId="2" xfId="0" applyNumberFormat="1" applyFont="1" applyFill="1" applyBorder="1" applyAlignment="1">
      <alignment vertical="center"/>
    </xf>
    <xf numFmtId="0" fontId="27" fillId="2" borderId="0" xfId="0" applyFont="1" applyFill="1" applyBorder="1" applyAlignment="1">
      <alignment horizontal="left" vertical="center" wrapText="1"/>
    </xf>
    <xf numFmtId="0" fontId="33" fillId="2" borderId="0" xfId="0" applyFont="1" applyFill="1" applyBorder="1" applyAlignment="1">
      <alignment vertical="center"/>
    </xf>
    <xf numFmtId="0" fontId="0" fillId="0" borderId="0" xfId="0"/>
    <xf numFmtId="0" fontId="1" fillId="0" borderId="0" xfId="0" applyFont="1" applyAlignment="1">
      <alignment horizontal="center" vertical="center"/>
    </xf>
    <xf numFmtId="0" fontId="1" fillId="0" borderId="0" xfId="0" applyFont="1" applyAlignment="1"/>
    <xf numFmtId="0" fontId="0" fillId="11" borderId="0" xfId="0" applyFill="1"/>
    <xf numFmtId="0" fontId="0" fillId="11" borderId="0" xfId="0" applyFill="1" applyAlignment="1">
      <alignment vertical="center"/>
    </xf>
    <xf numFmtId="0" fontId="3" fillId="11" borderId="0" xfId="0" applyFont="1" applyFill="1"/>
    <xf numFmtId="0" fontId="3" fillId="11" borderId="0" xfId="0" applyFont="1" applyFill="1" applyAlignment="1">
      <alignment horizontal="center" vertical="center"/>
    </xf>
    <xf numFmtId="0" fontId="1" fillId="11" borderId="0" xfId="0" applyFont="1" applyFill="1" applyAlignment="1">
      <alignment horizontal="center" vertical="center"/>
    </xf>
    <xf numFmtId="0" fontId="1" fillId="11" borderId="0" xfId="0" applyFont="1" applyFill="1"/>
    <xf numFmtId="167" fontId="0" fillId="11" borderId="1" xfId="0" applyNumberFormat="1" applyFill="1" applyBorder="1" applyAlignment="1">
      <alignment horizontal="center"/>
    </xf>
    <xf numFmtId="167" fontId="0" fillId="11" borderId="0" xfId="0" applyNumberFormat="1" applyFill="1"/>
    <xf numFmtId="0" fontId="0" fillId="11" borderId="4" xfId="0" applyFill="1" applyBorder="1" applyAlignment="1">
      <alignment horizontal="left"/>
    </xf>
    <xf numFmtId="0" fontId="0" fillId="11" borderId="0" xfId="0" applyFill="1" applyBorder="1"/>
    <xf numFmtId="0" fontId="0" fillId="11" borderId="1" xfId="0" applyFill="1" applyBorder="1"/>
    <xf numFmtId="0" fontId="1" fillId="11" borderId="4" xfId="0" applyFont="1" applyFill="1" applyBorder="1"/>
    <xf numFmtId="0" fontId="25" fillId="0" borderId="9" xfId="0" applyFont="1" applyBorder="1" applyAlignment="1" applyProtection="1">
      <alignment vertical="center"/>
    </xf>
    <xf numFmtId="0" fontId="0" fillId="0" borderId="0" xfId="0"/>
    <xf numFmtId="0" fontId="25" fillId="2" borderId="0" xfId="0" applyFont="1" applyFill="1" applyBorder="1" applyAlignment="1">
      <alignment vertical="center"/>
    </xf>
    <xf numFmtId="0" fontId="35" fillId="0" borderId="0" xfId="0" applyFont="1"/>
    <xf numFmtId="164" fontId="3" fillId="7" borderId="2" xfId="0" applyNumberFormat="1" applyFont="1" applyFill="1" applyBorder="1" applyAlignment="1">
      <alignment vertical="center"/>
    </xf>
    <xf numFmtId="0" fontId="21" fillId="2" borderId="3" xfId="0" applyFont="1" applyFill="1" applyBorder="1" applyAlignment="1">
      <alignment horizontal="left" vertical="center" wrapText="1"/>
    </xf>
    <xf numFmtId="0" fontId="3" fillId="0" borderId="5" xfId="0" applyFont="1" applyBorder="1" applyAlignment="1">
      <alignment vertical="center"/>
    </xf>
    <xf numFmtId="0" fontId="3" fillId="0" borderId="4" xfId="0" applyFont="1" applyBorder="1" applyAlignment="1">
      <alignment vertical="center"/>
    </xf>
    <xf numFmtId="0" fontId="3" fillId="0" borderId="0" xfId="0" applyFont="1" applyBorder="1" applyAlignment="1">
      <alignment vertical="center"/>
    </xf>
    <xf numFmtId="0" fontId="19" fillId="5" borderId="3" xfId="0" applyFont="1" applyFill="1" applyBorder="1" applyAlignment="1" applyProtection="1">
      <alignment horizontal="center" vertical="center"/>
      <protection hidden="1"/>
    </xf>
    <xf numFmtId="0" fontId="4" fillId="5" borderId="5" xfId="0" applyFont="1" applyFill="1" applyBorder="1" applyAlignment="1" applyProtection="1">
      <alignment horizontal="center" vertical="center"/>
      <protection hidden="1"/>
    </xf>
    <xf numFmtId="0" fontId="4" fillId="5" borderId="11" xfId="0" applyFont="1" applyFill="1" applyBorder="1" applyAlignment="1" applyProtection="1">
      <alignment horizontal="center" vertical="center"/>
      <protection hidden="1"/>
    </xf>
    <xf numFmtId="0" fontId="4" fillId="5" borderId="6" xfId="0" applyFont="1" applyFill="1" applyBorder="1" applyAlignment="1" applyProtection="1">
      <alignment horizontal="center" vertical="center"/>
      <protection hidden="1"/>
    </xf>
    <xf numFmtId="0" fontId="4" fillId="5" borderId="7" xfId="0" applyFont="1" applyFill="1" applyBorder="1" applyAlignment="1" applyProtection="1">
      <alignment horizontal="center" vertical="center"/>
      <protection hidden="1"/>
    </xf>
    <xf numFmtId="0" fontId="4" fillId="5" borderId="8" xfId="0" applyFont="1" applyFill="1" applyBorder="1" applyAlignment="1" applyProtection="1">
      <alignment horizontal="center" vertical="center"/>
      <protection hidden="1"/>
    </xf>
    <xf numFmtId="0" fontId="1" fillId="9" borderId="13" xfId="0" applyFont="1" applyFill="1" applyBorder="1" applyAlignment="1" applyProtection="1">
      <alignment horizontal="right" vertical="center"/>
      <protection locked="0"/>
    </xf>
    <xf numFmtId="0" fontId="3" fillId="9" borderId="12" xfId="0" applyFont="1" applyFill="1" applyBorder="1" applyAlignment="1" applyProtection="1">
      <alignment horizontal="right" vertical="center"/>
      <protection locked="0"/>
    </xf>
    <xf numFmtId="0" fontId="17" fillId="2" borderId="0" xfId="0" applyFont="1" applyFill="1" applyBorder="1" applyAlignment="1" applyProtection="1">
      <alignment horizontal="left" vertical="center" wrapText="1"/>
      <protection hidden="1"/>
    </xf>
    <xf numFmtId="0" fontId="21" fillId="2" borderId="0" xfId="0" applyFont="1" applyFill="1" applyBorder="1" applyAlignment="1" applyProtection="1">
      <alignment horizontal="left" vertical="center" wrapText="1"/>
      <protection hidden="1"/>
    </xf>
    <xf numFmtId="0" fontId="21" fillId="2" borderId="1" xfId="0" applyFont="1" applyFill="1" applyBorder="1" applyAlignment="1" applyProtection="1">
      <alignment horizontal="left" vertical="center" wrapText="1"/>
      <protection hidden="1"/>
    </xf>
    <xf numFmtId="0" fontId="21" fillId="2" borderId="4" xfId="0" applyFont="1" applyFill="1" applyBorder="1" applyAlignment="1">
      <alignment horizontal="left" vertical="center" wrapText="1"/>
    </xf>
    <xf numFmtId="0" fontId="15" fillId="2" borderId="0" xfId="0" applyFont="1" applyFill="1" applyBorder="1" applyAlignment="1">
      <alignment horizontal="left" vertical="center" wrapText="1"/>
    </xf>
    <xf numFmtId="0" fontId="15" fillId="2" borderId="6" xfId="0" applyFont="1" applyFill="1" applyBorder="1" applyAlignment="1">
      <alignment horizontal="left" vertical="center" wrapText="1"/>
    </xf>
    <xf numFmtId="0" fontId="15" fillId="2" borderId="7" xfId="0" applyFont="1" applyFill="1" applyBorder="1" applyAlignment="1">
      <alignment horizontal="left" vertical="center" wrapText="1"/>
    </xf>
    <xf numFmtId="0" fontId="21" fillId="2" borderId="0" xfId="0" applyFont="1" applyFill="1" applyBorder="1" applyAlignment="1">
      <alignment horizontal="left" vertical="center" wrapText="1"/>
    </xf>
    <xf numFmtId="0" fontId="21" fillId="2" borderId="7" xfId="0" applyFont="1" applyFill="1" applyBorder="1" applyAlignment="1" applyProtection="1">
      <alignment horizontal="left" vertical="center" wrapText="1"/>
      <protection hidden="1"/>
    </xf>
    <xf numFmtId="0" fontId="21" fillId="2" borderId="8" xfId="0" applyFont="1" applyFill="1" applyBorder="1" applyAlignment="1" applyProtection="1">
      <alignment horizontal="left" vertical="center" wrapText="1"/>
      <protection hidden="1"/>
    </xf>
    <xf numFmtId="0" fontId="0" fillId="0" borderId="0" xfId="0" applyBorder="1" applyAlignment="1">
      <alignment vertical="center"/>
    </xf>
    <xf numFmtId="14" fontId="3" fillId="9" borderId="13" xfId="0" applyNumberFormat="1" applyFont="1" applyFill="1" applyBorder="1" applyAlignment="1" applyProtection="1">
      <alignment horizontal="right" vertical="center"/>
      <protection locked="0"/>
    </xf>
    <xf numFmtId="14" fontId="3" fillId="9" borderId="12" xfId="0" applyNumberFormat="1" applyFont="1" applyFill="1" applyBorder="1" applyAlignment="1" applyProtection="1">
      <alignment horizontal="right" vertical="center"/>
      <protection locked="0"/>
    </xf>
    <xf numFmtId="0" fontId="1" fillId="9" borderId="3" xfId="0" applyFont="1" applyFill="1" applyBorder="1" applyAlignment="1" applyProtection="1">
      <alignment horizontal="left" vertical="top" wrapText="1"/>
      <protection locked="0"/>
    </xf>
    <xf numFmtId="0" fontId="0" fillId="9" borderId="5" xfId="0" applyFill="1" applyBorder="1" applyAlignment="1" applyProtection="1">
      <alignment horizontal="left" vertical="top" wrapText="1"/>
      <protection locked="0"/>
    </xf>
    <xf numFmtId="0" fontId="0" fillId="9" borderId="11" xfId="0" applyFill="1" applyBorder="1" applyAlignment="1" applyProtection="1">
      <alignment horizontal="left" vertical="top" wrapText="1"/>
      <protection locked="0"/>
    </xf>
    <xf numFmtId="0" fontId="0" fillId="9" borderId="4" xfId="0" applyFill="1" applyBorder="1" applyAlignment="1" applyProtection="1">
      <alignment horizontal="left" vertical="top" wrapText="1"/>
      <protection locked="0"/>
    </xf>
    <xf numFmtId="0" fontId="0" fillId="9" borderId="0" xfId="0" applyFill="1" applyBorder="1" applyAlignment="1" applyProtection="1">
      <alignment horizontal="left" vertical="top" wrapText="1"/>
      <protection locked="0"/>
    </xf>
    <xf numFmtId="0" fontId="0" fillId="9" borderId="1" xfId="0" applyFill="1" applyBorder="1" applyAlignment="1" applyProtection="1">
      <alignment horizontal="left" vertical="top" wrapText="1"/>
      <protection locked="0"/>
    </xf>
    <xf numFmtId="0" fontId="0" fillId="9" borderId="6" xfId="0" applyFill="1" applyBorder="1" applyAlignment="1" applyProtection="1">
      <alignment horizontal="left" vertical="top" wrapText="1"/>
      <protection locked="0"/>
    </xf>
    <xf numFmtId="0" fontId="0" fillId="9" borderId="7" xfId="0" applyFill="1" applyBorder="1" applyAlignment="1" applyProtection="1">
      <alignment horizontal="left" vertical="top" wrapText="1"/>
      <protection locked="0"/>
    </xf>
    <xf numFmtId="0" fontId="0" fillId="9" borderId="8" xfId="0" applyFill="1" applyBorder="1" applyAlignment="1" applyProtection="1">
      <alignment horizontal="left" vertical="top" wrapText="1"/>
      <protection locked="0"/>
    </xf>
    <xf numFmtId="0" fontId="0" fillId="9" borderId="12" xfId="0" applyFill="1" applyBorder="1" applyAlignment="1" applyProtection="1">
      <alignment horizontal="right" vertical="center"/>
      <protection locked="0"/>
    </xf>
    <xf numFmtId="0" fontId="21" fillId="2" borderId="5" xfId="0" applyFont="1" applyFill="1" applyBorder="1" applyAlignment="1">
      <alignment horizontal="left" vertical="center" wrapText="1"/>
    </xf>
    <xf numFmtId="0" fontId="21" fillId="2" borderId="11" xfId="0" applyFont="1" applyFill="1" applyBorder="1" applyAlignment="1">
      <alignment horizontal="left" vertical="center" wrapText="1"/>
    </xf>
    <xf numFmtId="0" fontId="21" fillId="2" borderId="1" xfId="0" applyFont="1" applyFill="1" applyBorder="1" applyAlignment="1">
      <alignment horizontal="left" vertical="center" wrapText="1"/>
    </xf>
    <xf numFmtId="0" fontId="17" fillId="2" borderId="0" xfId="0" applyFont="1" applyFill="1" applyBorder="1" applyAlignment="1">
      <alignment horizontal="left" vertical="center" wrapText="1"/>
    </xf>
    <xf numFmtId="0" fontId="14" fillId="2" borderId="3" xfId="0" applyFont="1" applyFill="1" applyBorder="1" applyAlignment="1" applyProtection="1">
      <alignment horizontal="left" vertical="center" wrapText="1"/>
      <protection hidden="1"/>
    </xf>
    <xf numFmtId="0" fontId="14" fillId="2" borderId="5" xfId="0" applyFont="1" applyFill="1" applyBorder="1" applyAlignment="1" applyProtection="1">
      <alignment horizontal="left" vertical="center" wrapText="1"/>
      <protection hidden="1"/>
    </xf>
    <xf numFmtId="0" fontId="25" fillId="2" borderId="4" xfId="0" applyFont="1" applyFill="1" applyBorder="1" applyAlignment="1" applyProtection="1">
      <alignment horizontal="left" vertical="center" wrapText="1"/>
      <protection hidden="1"/>
    </xf>
    <xf numFmtId="0" fontId="25" fillId="2" borderId="0" xfId="0" applyFont="1" applyFill="1" applyBorder="1" applyAlignment="1" applyProtection="1">
      <alignment horizontal="left" vertical="center" wrapText="1"/>
      <protection hidden="1"/>
    </xf>
    <xf numFmtId="0" fontId="17" fillId="2" borderId="4" xfId="0" applyFont="1" applyFill="1" applyBorder="1" applyAlignment="1" applyProtection="1">
      <alignment horizontal="left" vertical="center" wrapText="1"/>
      <protection hidden="1"/>
    </xf>
    <xf numFmtId="0" fontId="21" fillId="2" borderId="4" xfId="0" applyFont="1" applyFill="1" applyBorder="1" applyAlignment="1" applyProtection="1">
      <alignment horizontal="left" vertical="center" wrapText="1"/>
      <protection hidden="1"/>
    </xf>
    <xf numFmtId="0" fontId="3" fillId="9" borderId="13" xfId="0" applyFont="1" applyFill="1" applyBorder="1" applyAlignment="1" applyProtection="1">
      <alignment horizontal="right"/>
      <protection locked="0"/>
    </xf>
    <xf numFmtId="0" fontId="0" fillId="9" borderId="12" xfId="0" applyFill="1" applyBorder="1" applyAlignment="1" applyProtection="1">
      <alignment horizontal="right"/>
      <protection locked="0"/>
    </xf>
    <xf numFmtId="0" fontId="19" fillId="5" borderId="3" xfId="0" applyFont="1" applyFill="1" applyBorder="1" applyAlignment="1" applyProtection="1">
      <alignment horizontal="center"/>
      <protection hidden="1"/>
    </xf>
    <xf numFmtId="0" fontId="4" fillId="5" borderId="5" xfId="0" applyFont="1" applyFill="1" applyBorder="1" applyAlignment="1" applyProtection="1">
      <alignment horizontal="center"/>
      <protection hidden="1"/>
    </xf>
    <xf numFmtId="0" fontId="4" fillId="5" borderId="11" xfId="0" applyFont="1" applyFill="1" applyBorder="1" applyAlignment="1" applyProtection="1">
      <alignment horizontal="center"/>
      <protection hidden="1"/>
    </xf>
    <xf numFmtId="0" fontId="4" fillId="5" borderId="6" xfId="0" applyFont="1" applyFill="1" applyBorder="1" applyAlignment="1" applyProtection="1">
      <alignment horizontal="center"/>
      <protection hidden="1"/>
    </xf>
    <xf numFmtId="0" fontId="4" fillId="5" borderId="7" xfId="0" applyFont="1" applyFill="1" applyBorder="1" applyAlignment="1" applyProtection="1">
      <alignment horizontal="center"/>
      <protection hidden="1"/>
    </xf>
    <xf numFmtId="0" fontId="4" fillId="5" borderId="8" xfId="0" applyFont="1" applyFill="1" applyBorder="1" applyAlignment="1" applyProtection="1">
      <alignment horizontal="center"/>
      <protection hidden="1"/>
    </xf>
    <xf numFmtId="0" fontId="0" fillId="0" borderId="0" xfId="0" applyBorder="1" applyAlignment="1"/>
    <xf numFmtId="0" fontId="3" fillId="9" borderId="3" xfId="0" applyFont="1" applyFill="1" applyBorder="1" applyAlignment="1" applyProtection="1">
      <alignment horizontal="left" vertical="top" wrapText="1"/>
      <protection locked="0"/>
    </xf>
    <xf numFmtId="0" fontId="3" fillId="9" borderId="12" xfId="0" applyFont="1" applyFill="1" applyBorder="1" applyAlignment="1" applyProtection="1">
      <alignment horizontal="right"/>
      <protection locked="0"/>
    </xf>
    <xf numFmtId="14" fontId="3" fillId="9" borderId="13" xfId="0" applyNumberFormat="1" applyFont="1" applyFill="1" applyBorder="1" applyAlignment="1" applyProtection="1">
      <alignment horizontal="right"/>
      <protection locked="0"/>
    </xf>
    <xf numFmtId="14" fontId="3" fillId="9" borderId="12" xfId="0" applyNumberFormat="1" applyFont="1" applyFill="1" applyBorder="1" applyAlignment="1" applyProtection="1">
      <alignment horizontal="right"/>
      <protection locked="0"/>
    </xf>
    <xf numFmtId="0" fontId="13" fillId="2" borderId="0" xfId="0" applyFont="1" applyFill="1" applyBorder="1" applyAlignment="1" applyProtection="1">
      <alignment horizontal="left" vertical="top" wrapText="1"/>
      <protection hidden="1"/>
    </xf>
    <xf numFmtId="0" fontId="0" fillId="0" borderId="0" xfId="0"/>
    <xf numFmtId="0" fontId="0" fillId="0" borderId="1" xfId="0" applyBorder="1"/>
    <xf numFmtId="0" fontId="21" fillId="2" borderId="4" xfId="0" applyFont="1" applyFill="1" applyBorder="1" applyAlignment="1">
      <alignment horizontal="left" vertical="top" wrapText="1"/>
    </xf>
    <xf numFmtId="0" fontId="21" fillId="2" borderId="0" xfId="0" applyFont="1" applyFill="1" applyBorder="1" applyAlignment="1">
      <alignment horizontal="left" vertical="top" wrapText="1"/>
    </xf>
    <xf numFmtId="0" fontId="21" fillId="2" borderId="6" xfId="0" applyFont="1" applyFill="1" applyBorder="1" applyAlignment="1">
      <alignment horizontal="left" vertical="top" wrapText="1"/>
    </xf>
    <xf numFmtId="0" fontId="21" fillId="2" borderId="7" xfId="0" applyFont="1" applyFill="1" applyBorder="1" applyAlignment="1">
      <alignment horizontal="left" vertical="top" wrapText="1"/>
    </xf>
    <xf numFmtId="0" fontId="0" fillId="0" borderId="7" xfId="0" applyBorder="1"/>
    <xf numFmtId="0" fontId="0" fillId="0" borderId="8" xfId="0" applyBorder="1"/>
    <xf numFmtId="0" fontId="21" fillId="2" borderId="7" xfId="0" applyFont="1" applyFill="1" applyBorder="1" applyAlignment="1">
      <alignment horizontal="left" vertical="center" wrapText="1"/>
    </xf>
    <xf numFmtId="0" fontId="21" fillId="2" borderId="8" xfId="0" applyFont="1" applyFill="1" applyBorder="1" applyAlignment="1">
      <alignment horizontal="left" vertical="center" wrapText="1"/>
    </xf>
    <xf numFmtId="0" fontId="3" fillId="2" borderId="0" xfId="0" applyFont="1" applyFill="1" applyBorder="1" applyAlignment="1" applyProtection="1">
      <alignment horizontal="left" vertical="center" wrapText="1"/>
      <protection hidden="1"/>
    </xf>
    <xf numFmtId="0" fontId="0" fillId="0" borderId="0" xfId="0" applyAlignment="1">
      <alignment horizontal="left" wrapText="1"/>
    </xf>
    <xf numFmtId="0" fontId="3" fillId="2" borderId="0" xfId="0" applyFont="1" applyFill="1" applyBorder="1" applyAlignment="1" applyProtection="1">
      <alignment vertical="center" wrapText="1"/>
      <protection hidden="1"/>
    </xf>
    <xf numFmtId="0" fontId="0" fillId="0" borderId="0" xfId="0" applyAlignment="1">
      <alignment vertical="center" wrapText="1"/>
    </xf>
    <xf numFmtId="0" fontId="14" fillId="2" borderId="3" xfId="0" applyFont="1" applyFill="1" applyBorder="1" applyAlignment="1" applyProtection="1">
      <alignment horizontal="left" vertical="top" wrapText="1"/>
      <protection hidden="1"/>
    </xf>
    <xf numFmtId="0" fontId="14" fillId="2" borderId="5" xfId="0" applyFont="1" applyFill="1" applyBorder="1" applyAlignment="1" applyProtection="1">
      <alignment horizontal="left" vertical="top" wrapText="1"/>
      <protection hidden="1"/>
    </xf>
    <xf numFmtId="0" fontId="28" fillId="2" borderId="0" xfId="0" applyFont="1" applyFill="1" applyBorder="1" applyAlignment="1">
      <alignment horizontal="left" vertical="top" wrapText="1"/>
    </xf>
    <xf numFmtId="0" fontId="28" fillId="2" borderId="0" xfId="0" applyFont="1" applyFill="1" applyBorder="1" applyAlignment="1" applyProtection="1">
      <alignment horizontal="left" vertical="top" wrapText="1"/>
      <protection hidden="1"/>
    </xf>
    <xf numFmtId="0" fontId="29" fillId="2" borderId="5" xfId="0" applyFont="1" applyFill="1" applyBorder="1" applyAlignment="1">
      <alignment horizontal="left" wrapText="1"/>
    </xf>
    <xf numFmtId="0" fontId="29" fillId="2" borderId="11" xfId="0" applyFont="1" applyFill="1" applyBorder="1" applyAlignment="1">
      <alignment horizontal="left" wrapText="1"/>
    </xf>
    <xf numFmtId="0" fontId="29" fillId="2" borderId="0" xfId="0" applyFont="1" applyFill="1" applyBorder="1" applyAlignment="1">
      <alignment horizontal="left" wrapText="1"/>
    </xf>
    <xf numFmtId="0" fontId="29" fillId="2" borderId="1" xfId="0" applyFont="1" applyFill="1" applyBorder="1" applyAlignment="1">
      <alignment horizontal="left" wrapText="1"/>
    </xf>
    <xf numFmtId="0" fontId="28" fillId="2" borderId="4" xfId="0" applyFont="1" applyFill="1" applyBorder="1" applyAlignment="1">
      <alignment horizontal="left" vertical="center" wrapText="1"/>
    </xf>
    <xf numFmtId="0" fontId="28" fillId="2" borderId="1" xfId="0" applyFont="1" applyFill="1" applyBorder="1" applyAlignment="1">
      <alignment horizontal="left" vertical="center" wrapText="1"/>
    </xf>
    <xf numFmtId="0" fontId="19" fillId="5" borderId="5" xfId="0" applyFont="1" applyFill="1" applyBorder="1" applyAlignment="1" applyProtection="1">
      <alignment horizontal="center"/>
      <protection hidden="1"/>
    </xf>
    <xf numFmtId="0" fontId="19" fillId="5" borderId="11" xfId="0" applyFont="1" applyFill="1" applyBorder="1" applyAlignment="1" applyProtection="1">
      <alignment horizontal="center"/>
      <protection hidden="1"/>
    </xf>
    <xf numFmtId="0" fontId="19" fillId="5" borderId="6" xfId="0" applyFont="1" applyFill="1" applyBorder="1" applyAlignment="1" applyProtection="1">
      <alignment horizontal="center"/>
      <protection hidden="1"/>
    </xf>
    <xf numFmtId="0" fontId="19" fillId="5" borderId="7" xfId="0" applyFont="1" applyFill="1" applyBorder="1" applyAlignment="1" applyProtection="1">
      <alignment horizontal="center"/>
      <protection hidden="1"/>
    </xf>
    <xf numFmtId="0" fontId="19" fillId="5" borderId="8" xfId="0" applyFont="1" applyFill="1" applyBorder="1" applyAlignment="1" applyProtection="1">
      <alignment horizontal="center"/>
      <protection hidden="1"/>
    </xf>
    <xf numFmtId="0" fontId="28" fillId="2" borderId="7" xfId="0" applyFont="1" applyFill="1" applyBorder="1" applyAlignment="1">
      <alignment horizontal="left" vertical="top" wrapText="1"/>
    </xf>
    <xf numFmtId="0" fontId="26" fillId="9" borderId="13" xfId="0" applyFont="1" applyFill="1" applyBorder="1" applyAlignment="1" applyProtection="1">
      <alignment horizontal="right"/>
      <protection locked="0"/>
    </xf>
    <xf numFmtId="0" fontId="26" fillId="9" borderId="12" xfId="0" applyFont="1" applyFill="1" applyBorder="1" applyAlignment="1" applyProtection="1">
      <alignment horizontal="right"/>
      <protection locked="0"/>
    </xf>
    <xf numFmtId="0" fontId="28" fillId="2" borderId="0" xfId="0" applyFont="1" applyFill="1" applyBorder="1" applyAlignment="1">
      <alignment horizontal="left" vertical="center" wrapText="1"/>
    </xf>
    <xf numFmtId="0" fontId="26" fillId="9" borderId="3" xfId="0" applyFont="1" applyFill="1" applyBorder="1" applyAlignment="1" applyProtection="1">
      <alignment horizontal="right"/>
      <protection locked="0"/>
    </xf>
    <xf numFmtId="0" fontId="32" fillId="3" borderId="3" xfId="0" applyFont="1" applyFill="1" applyBorder="1" applyAlignment="1">
      <alignment horizontal="left" vertical="top" wrapText="1"/>
    </xf>
    <xf numFmtId="0" fontId="26" fillId="0" borderId="5" xfId="0" applyFont="1" applyBorder="1"/>
    <xf numFmtId="0" fontId="26" fillId="0" borderId="4" xfId="0" applyFont="1" applyBorder="1"/>
    <xf numFmtId="0" fontId="26" fillId="0" borderId="0" xfId="0" applyFont="1" applyBorder="1"/>
    <xf numFmtId="0" fontId="26" fillId="0" borderId="6" xfId="0" applyFont="1" applyBorder="1"/>
    <xf numFmtId="0" fontId="26" fillId="0" borderId="7" xfId="0" applyFont="1" applyBorder="1"/>
    <xf numFmtId="0" fontId="37" fillId="9" borderId="3" xfId="0" applyFont="1" applyFill="1" applyBorder="1" applyAlignment="1" applyProtection="1">
      <alignment horizontal="left" vertical="top" wrapText="1"/>
      <protection locked="0"/>
    </xf>
    <xf numFmtId="0" fontId="26" fillId="9" borderId="5" xfId="0" applyFont="1" applyFill="1" applyBorder="1" applyAlignment="1" applyProtection="1">
      <alignment horizontal="left" vertical="top" wrapText="1"/>
      <protection locked="0"/>
    </xf>
    <xf numFmtId="0" fontId="26" fillId="9" borderId="11" xfId="0" applyFont="1" applyFill="1" applyBorder="1" applyAlignment="1" applyProtection="1">
      <alignment horizontal="left" vertical="top" wrapText="1"/>
      <protection locked="0"/>
    </xf>
    <xf numFmtId="0" fontId="26" fillId="9" borderId="4" xfId="0" applyFont="1" applyFill="1" applyBorder="1" applyAlignment="1" applyProtection="1">
      <alignment horizontal="left" vertical="top" wrapText="1"/>
      <protection locked="0"/>
    </xf>
    <xf numFmtId="0" fontId="26" fillId="9" borderId="0" xfId="0" applyFont="1" applyFill="1" applyBorder="1" applyAlignment="1" applyProtection="1">
      <alignment horizontal="left" vertical="top" wrapText="1"/>
      <protection locked="0"/>
    </xf>
    <xf numFmtId="0" fontId="26" fillId="9" borderId="1" xfId="0" applyFont="1" applyFill="1" applyBorder="1" applyAlignment="1" applyProtection="1">
      <alignment horizontal="left" vertical="top" wrapText="1"/>
      <protection locked="0"/>
    </xf>
    <xf numFmtId="0" fontId="26" fillId="9" borderId="6" xfId="0" applyFont="1" applyFill="1" applyBorder="1" applyAlignment="1" applyProtection="1">
      <alignment horizontal="left" vertical="top" wrapText="1"/>
      <protection locked="0"/>
    </xf>
    <xf numFmtId="0" fontId="26" fillId="9" borderId="7" xfId="0" applyFont="1" applyFill="1" applyBorder="1" applyAlignment="1" applyProtection="1">
      <alignment horizontal="left" vertical="top" wrapText="1"/>
      <protection locked="0"/>
    </xf>
    <xf numFmtId="0" fontId="26" fillId="9" borderId="8" xfId="0" applyFont="1" applyFill="1" applyBorder="1" applyAlignment="1" applyProtection="1">
      <alignment horizontal="left" vertical="top" wrapText="1"/>
      <protection locked="0"/>
    </xf>
    <xf numFmtId="14" fontId="26" fillId="9" borderId="13" xfId="0" applyNumberFormat="1" applyFont="1" applyFill="1" applyBorder="1" applyAlignment="1" applyProtection="1">
      <alignment horizontal="right"/>
      <protection locked="0"/>
    </xf>
    <xf numFmtId="14" fontId="26" fillId="9" borderId="12" xfId="0" applyNumberFormat="1" applyFont="1" applyFill="1" applyBorder="1" applyAlignment="1" applyProtection="1">
      <alignment horizontal="right"/>
      <protection locked="0"/>
    </xf>
    <xf numFmtId="0" fontId="28" fillId="2" borderId="5" xfId="0" applyFont="1" applyFill="1" applyBorder="1" applyAlignment="1">
      <alignment horizontal="left" vertical="top" wrapText="1"/>
    </xf>
    <xf numFmtId="0" fontId="26" fillId="0" borderId="0" xfId="0" applyFont="1"/>
    <xf numFmtId="0" fontId="26" fillId="3" borderId="11" xfId="0" applyFont="1" applyFill="1" applyBorder="1" applyAlignment="1">
      <alignment horizontal="center" vertical="top" wrapText="1"/>
    </xf>
    <xf numFmtId="0" fontId="26" fillId="3" borderId="1" xfId="0" applyFont="1" applyFill="1" applyBorder="1" applyAlignment="1">
      <alignment horizontal="center" vertical="top" wrapText="1"/>
    </xf>
    <xf numFmtId="0" fontId="26" fillId="3" borderId="8" xfId="0" applyFont="1" applyFill="1" applyBorder="1" applyAlignment="1">
      <alignment horizontal="center" vertical="top" wrapText="1"/>
    </xf>
    <xf numFmtId="0" fontId="28" fillId="2" borderId="7" xfId="0" applyFont="1" applyFill="1" applyBorder="1" applyAlignment="1">
      <alignment horizontal="left" vertical="center" wrapText="1"/>
    </xf>
  </cellXfs>
  <cellStyles count="1">
    <cellStyle name="Normal" xfId="0" builtinId="0"/>
  </cellStyles>
  <dxfs count="65">
    <dxf>
      <fill>
        <patternFill>
          <bgColor indexed="13"/>
        </patternFill>
      </fill>
    </dxf>
    <dxf>
      <fill>
        <patternFill>
          <bgColor indexed="41"/>
        </patternFill>
      </fill>
    </dxf>
    <dxf>
      <fill>
        <patternFill>
          <bgColor theme="5" tint="0.59996337778862885"/>
        </patternFill>
      </fill>
    </dxf>
    <dxf>
      <fill>
        <patternFill>
          <bgColor theme="9" tint="0.39994506668294322"/>
        </patternFill>
      </fill>
    </dxf>
    <dxf>
      <fill>
        <patternFill>
          <bgColor rgb="FFCCFFFF"/>
        </patternFill>
      </fill>
    </dxf>
    <dxf>
      <fill>
        <patternFill>
          <bgColor indexed="10"/>
        </patternFill>
      </fill>
    </dxf>
    <dxf>
      <fill>
        <patternFill>
          <bgColor indexed="41"/>
        </patternFill>
      </fill>
    </dxf>
    <dxf>
      <font>
        <strike val="0"/>
        <condense val="0"/>
        <extend val="0"/>
      </font>
      <fill>
        <patternFill>
          <bgColor indexed="10"/>
        </patternFill>
      </fill>
    </dxf>
    <dxf>
      <font>
        <condense val="0"/>
        <extend val="0"/>
      </font>
      <fill>
        <patternFill>
          <bgColor indexed="41"/>
        </patternFill>
      </fill>
    </dxf>
    <dxf>
      <fill>
        <patternFill>
          <bgColor indexed="10"/>
        </patternFill>
      </fill>
    </dxf>
    <dxf>
      <fill>
        <patternFill>
          <bgColor indexed="41"/>
        </patternFill>
      </fill>
    </dxf>
    <dxf>
      <fill>
        <patternFill>
          <bgColor indexed="13"/>
        </patternFill>
      </fill>
    </dxf>
    <dxf>
      <fill>
        <patternFill>
          <bgColor theme="5" tint="0.59996337778862885"/>
        </patternFill>
      </fill>
    </dxf>
    <dxf>
      <fill>
        <patternFill>
          <bgColor indexed="41"/>
        </patternFill>
      </fill>
    </dxf>
    <dxf>
      <fill>
        <patternFill>
          <bgColor indexed="13"/>
        </patternFill>
      </fill>
    </dxf>
    <dxf>
      <fill>
        <patternFill>
          <bgColor theme="5" tint="0.59996337778862885"/>
        </patternFill>
      </fill>
    </dxf>
    <dxf>
      <fill>
        <patternFill>
          <bgColor indexed="41"/>
        </patternFill>
      </fill>
    </dxf>
    <dxf>
      <fill>
        <patternFill>
          <bgColor indexed="13"/>
        </patternFill>
      </fill>
    </dxf>
    <dxf>
      <fill>
        <patternFill>
          <bgColor theme="5" tint="0.59996337778862885"/>
        </patternFill>
      </fill>
    </dxf>
    <dxf>
      <fill>
        <patternFill>
          <bgColor indexed="41"/>
        </patternFill>
      </fill>
    </dxf>
    <dxf>
      <fill>
        <patternFill>
          <bgColor indexed="13"/>
        </patternFill>
      </fill>
    </dxf>
    <dxf>
      <fill>
        <patternFill>
          <bgColor theme="5" tint="0.59996337778862885"/>
        </patternFill>
      </fill>
    </dxf>
    <dxf>
      <fill>
        <patternFill>
          <bgColor indexed="41"/>
        </patternFill>
      </fill>
    </dxf>
    <dxf>
      <fill>
        <patternFill>
          <bgColor indexed="13"/>
        </patternFill>
      </fill>
    </dxf>
    <dxf>
      <fill>
        <patternFill>
          <bgColor theme="5" tint="0.59996337778862885"/>
        </patternFill>
      </fill>
    </dxf>
    <dxf>
      <fill>
        <patternFill>
          <bgColor indexed="41"/>
        </patternFill>
      </fill>
    </dxf>
    <dxf>
      <fill>
        <patternFill>
          <bgColor indexed="13"/>
        </patternFill>
      </fill>
    </dxf>
    <dxf>
      <fill>
        <patternFill>
          <bgColor theme="5" tint="0.59996337778862885"/>
        </patternFill>
      </fill>
    </dxf>
    <dxf>
      <fill>
        <patternFill>
          <bgColor indexed="41"/>
        </patternFill>
      </fill>
    </dxf>
    <dxf>
      <fill>
        <patternFill>
          <bgColor indexed="13"/>
        </patternFill>
      </fill>
    </dxf>
    <dxf>
      <fill>
        <patternFill>
          <bgColor theme="5" tint="0.59996337778862885"/>
        </patternFill>
      </fill>
    </dxf>
    <dxf>
      <fill>
        <patternFill>
          <bgColor indexed="41"/>
        </patternFill>
      </fill>
    </dxf>
    <dxf>
      <fill>
        <patternFill>
          <bgColor indexed="13"/>
        </patternFill>
      </fill>
    </dxf>
    <dxf>
      <fill>
        <patternFill>
          <bgColor theme="5" tint="0.59996337778862885"/>
        </patternFill>
      </fill>
    </dxf>
    <dxf>
      <fill>
        <patternFill>
          <bgColor indexed="41"/>
        </patternFill>
      </fill>
    </dxf>
    <dxf>
      <fill>
        <patternFill>
          <bgColor indexed="13"/>
        </patternFill>
      </fill>
    </dxf>
    <dxf>
      <fill>
        <patternFill>
          <bgColor theme="5" tint="0.59996337778862885"/>
        </patternFill>
      </fill>
    </dxf>
    <dxf>
      <fill>
        <patternFill>
          <bgColor indexed="41"/>
        </patternFill>
      </fill>
    </dxf>
    <dxf>
      <fill>
        <patternFill>
          <bgColor indexed="13"/>
        </patternFill>
      </fill>
    </dxf>
    <dxf>
      <fill>
        <patternFill>
          <bgColor indexed="41"/>
        </patternFill>
      </fill>
    </dxf>
    <dxf>
      <fill>
        <patternFill>
          <bgColor indexed="34"/>
        </patternFill>
      </fill>
    </dxf>
    <dxf>
      <fill>
        <patternFill>
          <bgColor indexed="41"/>
        </patternFill>
      </fill>
    </dxf>
    <dxf>
      <fill>
        <patternFill>
          <bgColor indexed="10"/>
        </patternFill>
      </fill>
    </dxf>
    <dxf>
      <fill>
        <patternFill>
          <bgColor indexed="10"/>
        </patternFill>
      </fill>
    </dxf>
    <dxf>
      <fill>
        <patternFill>
          <bgColor indexed="44"/>
        </patternFill>
      </fill>
    </dxf>
    <dxf>
      <fill>
        <patternFill>
          <bgColor theme="9" tint="0.39994506668294322"/>
        </patternFill>
      </fill>
    </dxf>
    <dxf>
      <fill>
        <patternFill>
          <bgColor theme="5" tint="0.59996337778862885"/>
        </patternFill>
      </fill>
    </dxf>
    <dxf>
      <fill>
        <patternFill>
          <bgColor indexed="27"/>
        </patternFill>
      </fill>
    </dxf>
    <dxf>
      <fill>
        <patternFill>
          <bgColor indexed="10"/>
        </patternFill>
      </fill>
    </dxf>
    <dxf>
      <fill>
        <patternFill>
          <bgColor indexed="41"/>
        </patternFill>
      </fill>
    </dxf>
    <dxf>
      <fill>
        <patternFill>
          <bgColor indexed="10"/>
        </patternFill>
      </fill>
    </dxf>
    <dxf>
      <fill>
        <patternFill>
          <bgColor indexed="41"/>
        </patternFill>
      </fill>
    </dxf>
    <dxf>
      <fill>
        <patternFill>
          <bgColor theme="5" tint="0.59996337778862885"/>
        </patternFill>
      </fill>
    </dxf>
    <dxf>
      <fill>
        <patternFill>
          <bgColor indexed="27"/>
        </patternFill>
      </fill>
    </dxf>
    <dxf>
      <fill>
        <patternFill>
          <bgColor theme="5" tint="0.59996337778862885"/>
        </patternFill>
      </fill>
    </dxf>
    <dxf>
      <fill>
        <patternFill>
          <bgColor rgb="FFCCFFFF"/>
        </patternFill>
      </fill>
    </dxf>
    <dxf>
      <fill>
        <patternFill>
          <bgColor theme="9" tint="0.39994506668294322"/>
        </patternFill>
      </fill>
    </dxf>
    <dxf>
      <fill>
        <patternFill>
          <bgColor theme="5" tint="0.59996337778862885"/>
        </patternFill>
      </fill>
    </dxf>
    <dxf>
      <fill>
        <patternFill>
          <bgColor indexed="27"/>
        </patternFill>
      </fill>
    </dxf>
    <dxf>
      <fill>
        <patternFill>
          <bgColor theme="5" tint="0.59996337778862885"/>
        </patternFill>
      </fill>
    </dxf>
    <dxf>
      <fill>
        <patternFill>
          <bgColor indexed="41"/>
        </patternFill>
      </fill>
    </dxf>
    <dxf>
      <font>
        <strike val="0"/>
        <condense val="0"/>
        <extend val="0"/>
      </font>
      <fill>
        <patternFill>
          <bgColor indexed="10"/>
        </patternFill>
      </fill>
    </dxf>
    <dxf>
      <font>
        <condense val="0"/>
        <extend val="0"/>
      </font>
      <fill>
        <patternFill>
          <bgColor indexed="41"/>
        </patternFill>
      </fill>
    </dxf>
    <dxf>
      <fill>
        <patternFill>
          <bgColor theme="5" tint="0.59996337778862885"/>
        </patternFill>
      </fill>
    </dxf>
    <dxf>
      <fill>
        <patternFill>
          <bgColor indexed="27"/>
        </patternFill>
      </fill>
    </dxf>
  </dxfs>
  <tableStyles count="0" defaultTableStyle="TableStyleMedium9" defaultPivotStyle="PivotStyleLight16"/>
  <colors>
    <mruColors>
      <color rgb="FFCCFFFF"/>
      <color rgb="FF0000FF"/>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Drop" dropLines="4" dropStyle="combo" dx="16" fmlaLink="AR23" fmlaRange="$AS$18:$AS$2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Lines="5" dropStyle="combo" dx="16" fmlaLink="$BB$25" fmlaRange="$BC$19:$BC$23" sel="1" val="0"/>
</file>

<file path=xl/ctrlProps/ctrlProp5.xml><?xml version="1.0" encoding="utf-8"?>
<formControlPr xmlns="http://schemas.microsoft.com/office/spreadsheetml/2009/9/main" objectType="Drop" dropLines="6" dropStyle="combo" dx="16" fmlaLink="$AW$25" fmlaRange="$AX$19:$AX$24" sel="1" val="0"/>
</file>

<file path=xl/ctrlProps/ctrlProp6.xml><?xml version="1.0" encoding="utf-8"?>
<formControlPr xmlns="http://schemas.microsoft.com/office/spreadsheetml/2009/9/main" objectType="Drop" dropLines="4" dropStyle="combo" dx="16" fmlaLink="$AR$23" fmlaRange="$AS$18:$AS$21" sel="1" val="0"/>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Drop" dropLines="5" dropStyle="combo" dx="16" fmlaLink="$BB$25" fmlaRange="$BC$19:$BC$23" sel="1" val="0"/>
</file>

<file path=xl/ctrlProps/ctrlProp10.xml><?xml version="1.0" encoding="utf-8"?>
<formControlPr xmlns="http://schemas.microsoft.com/office/spreadsheetml/2009/9/main" objectType="Drop" dropLines="4" dropStyle="combo" dx="16" fmlaLink="R23" fmlaRange="$S$17:$S$20" sel="0" val="0"/>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Drop" dropLines="5" dropStyle="combo" dx="16" fmlaLink="$W$25" fmlaRange="$X$18:$X$23" sel="0" val="0"/>
</file>

<file path=xl/ctrlProps/ctrlProp14.xml><?xml version="1.0" encoding="utf-8"?>
<formControlPr xmlns="http://schemas.microsoft.com/office/spreadsheetml/2009/9/main" objectType="Drop" dropLines="4" dropStyle="combo" dx="16" fmlaLink="R23" fmlaRange="$S$17:$S$20" sel="0" val="0"/>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Drop" dropLines="5" dropStyle="combo" dx="16" fmlaLink="$W$25" fmlaRange="$X$18:$X$23" sel="0" val="0"/>
</file>

<file path=xl/ctrlProps/ctrlProp18.xml><?xml version="1.0" encoding="utf-8"?>
<formControlPr xmlns="http://schemas.microsoft.com/office/spreadsheetml/2009/9/main" objectType="Drop" dropLines="4" dropStyle="combo" dx="16" fmlaLink="R23" fmlaRange="$S$17:$S$20" sel="0" val="0"/>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Drop" dropLines="5" dropStyle="combo" dx="16" fmlaLink="$W$25" fmlaRange="$X$18:$X$23" sel="0" val="0"/>
</file>

<file path=xl/ctrlProps/ctrlProp22.xml><?xml version="1.0" encoding="utf-8"?>
<formControlPr xmlns="http://schemas.microsoft.com/office/spreadsheetml/2009/9/main" objectType="Drop" dropLines="4" dropStyle="combo" dx="16" fmlaLink="R23" fmlaRange="$S$17:$S$20" sel="0" val="0"/>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Lines="5" dropStyle="combo" dx="16" fmlaLink="$W$25" fmlaRange="$X$18:$X$23" sel="0" val="0"/>
</file>

<file path=xl/ctrlProps/ctrlProp26.xml><?xml version="1.0" encoding="utf-8"?>
<formControlPr xmlns="http://schemas.microsoft.com/office/spreadsheetml/2009/9/main" objectType="Drop" dropLines="4" dropStyle="combo" dx="16" fmlaLink="R23" fmlaRange="$S$17:$S$20" sel="0" val="0"/>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Drop" dropLines="5" dropStyle="combo" dx="16" fmlaLink="$W$25" fmlaRange="$X$18:$X$23" sel="0" val="0"/>
</file>

<file path=xl/ctrlProps/ctrlProp30.xml><?xml version="1.0" encoding="utf-8"?>
<formControlPr xmlns="http://schemas.microsoft.com/office/spreadsheetml/2009/9/main" objectType="Drop" dropLines="4" dropStyle="combo" dx="16" fmlaLink="R23" fmlaRange="$S$17:$S$20" sel="0" val="0"/>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Drop" dropLines="5" dropStyle="combo" dx="16" fmlaLink="$W$25" fmlaRange="$X$18:$X$23" sel="0" val="0"/>
</file>

<file path=xl/ctrlProps/ctrlProp34.xml><?xml version="1.0" encoding="utf-8"?>
<formControlPr xmlns="http://schemas.microsoft.com/office/spreadsheetml/2009/9/main" objectType="Drop" dropLines="4" dropStyle="combo" dx="16" fmlaLink="R23" fmlaRange="$S$17:$S$20" sel="0" val="0"/>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Drop" dropLines="5" dropStyle="combo" dx="16" fmlaLink="$W$25" fmlaRange="$X$18:$X$23" sel="0" val="0"/>
</file>

<file path=xl/ctrlProps/ctrlProp38.xml><?xml version="1.0" encoding="utf-8"?>
<formControlPr xmlns="http://schemas.microsoft.com/office/spreadsheetml/2009/9/main" objectType="Drop" dropLines="4" dropStyle="combo" dx="16" fmlaLink="R23" fmlaRange="$S$17:$S$20" sel="0"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Drop" dropLines="5" dropStyle="combo" dx="16" fmlaLink="$W$25" fmlaRange="$X$18:$X$23" sel="0" val="0"/>
</file>

<file path=xl/ctrlProps/ctrlProp42.xml><?xml version="1.0" encoding="utf-8"?>
<formControlPr xmlns="http://schemas.microsoft.com/office/spreadsheetml/2009/9/main" objectType="Drop" dropLines="4" dropStyle="combo" dx="16" fmlaLink="R23" fmlaRange="$S$17:$S$20" sel="0" val="0"/>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Drop" dropLines="5" dropStyle="combo" dx="16" fmlaLink="$W$25" fmlaRange="$X$18:$X$23" sel="0" val="0"/>
</file>

<file path=xl/ctrlProps/ctrlProp46.xml><?xml version="1.0" encoding="utf-8"?>
<formControlPr xmlns="http://schemas.microsoft.com/office/spreadsheetml/2009/9/main" objectType="Drop" dropLines="4" dropStyle="combo" dx="16" fmlaLink="R23" fmlaRange="$S$17:$S$20" sel="0" val="0"/>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Drop" dropLines="5" dropStyle="combo" dx="16" fmlaLink="$W$25" fmlaRange="$X$18:$X$23" sel="0" val="0"/>
</file>

<file path=xl/ctrlProps/ctrlProp50.xml><?xml version="1.0" encoding="utf-8"?>
<formControlPr xmlns="http://schemas.microsoft.com/office/spreadsheetml/2009/9/main" objectType="Drop" dropLines="4" dropStyle="combo" dx="16" fmlaLink="R23" fmlaRange="$S$17:$S$20" sel="0" val="0"/>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Drop" dropLines="5" dropStyle="combo" dx="16" fmlaLink="$W$25" fmlaRange="$X$18:$X$23" sel="0" val="0"/>
</file>

<file path=xl/ctrlProps/ctrlProp54.xml><?xml version="1.0" encoding="utf-8"?>
<formControlPr xmlns="http://schemas.microsoft.com/office/spreadsheetml/2009/9/main" objectType="Drop" dropLines="4" dropStyle="combo" dx="16" fmlaLink="R23" fmlaRange="$S$17:$S$20" sel="0" val="0"/>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Drop" dropLines="5" dropStyle="combo" dx="16" fmlaLink="$W$25" fmlaRange="$X$18:$X$23" sel="0" val="0"/>
</file>

<file path=xl/ctrlProps/ctrlProp58.xml><?xml version="1.0" encoding="utf-8"?>
<formControlPr xmlns="http://schemas.microsoft.com/office/spreadsheetml/2009/9/main" objectType="Drop" dropLines="4" dropStyle="combo" dx="16" fmlaLink="R23" fmlaRange="$S$17:$S$20" sel="0" val="0"/>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Drop" dropLines="5" dropStyle="combo" dx="16" fmlaLink="$W$25" fmlaRange="$X$18:$X$23" sel="0" val="0"/>
</file>

<file path=xl/ctrlProps/ctrlProp62.xml><?xml version="1.0" encoding="utf-8"?>
<formControlPr xmlns="http://schemas.microsoft.com/office/spreadsheetml/2009/9/main" objectType="Drop" dropLines="4" dropStyle="combo" dx="16" fmlaLink="R23" fmlaRange="$S$17:$S$20" sel="0" val="0"/>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Drop" dropLines="5" dropStyle="combo" dx="16" fmlaLink="$W$25" fmlaRange="$X$18:$X$23" sel="0" val="0"/>
</file>

<file path=xl/ctrlProps/ctrlProp66.xml><?xml version="1.0" encoding="utf-8"?>
<formControlPr xmlns="http://schemas.microsoft.com/office/spreadsheetml/2009/9/main" objectType="Drop" dropLines="4" dropStyle="combo" dx="16" fmlaLink="R23" fmlaRange="$S$17:$S$20" sel="0" val="0"/>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Drop" dropLines="5" dropStyle="combo" dx="16" fmlaLink="$W$25" fmlaRange="$X$18:$X$23" sel="0" val="0"/>
</file>

<file path=xl/ctrlProps/ctrlProp70.xml><?xml version="1.0" encoding="utf-8"?>
<formControlPr xmlns="http://schemas.microsoft.com/office/spreadsheetml/2009/9/main" objectType="Drop" dropLines="6" dropStyle="combo" dx="16" fmlaLink="$AW$25" fmlaRange="$AX$19:$AX$24" sel="1" val="0"/>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Drop" dropLines="4" dropStyle="combo" dx="16" fmlaLink="$AR$23" fmlaRange="$AS$18:$AS$21" sel="1" val="0"/>
</file>

<file path=xl/ctrlProps/ctrlProp74.xml><?xml version="1.0" encoding="utf-8"?>
<formControlPr xmlns="http://schemas.microsoft.com/office/spreadsheetml/2009/9/main" objectType="Drop" dropLines="3" dropStyle="combo" dx="16" fmlaLink="$AN$21" fmlaRange="$AM$20:$AM$22" sel="1" val="0"/>
</file>

<file path=xl/ctrlProps/ctrlProp75.xml><?xml version="1.0" encoding="utf-8"?>
<formControlPr xmlns="http://schemas.microsoft.com/office/spreadsheetml/2009/9/main" objectType="Drop" dropLines="3" dropStyle="combo" dx="16" fmlaLink="$AN$24" fmlaRange="$AM$24:$AM$26" sel="1" val="0"/>
</file>

<file path=xl/ctrlProps/ctrlProp76.xml><?xml version="1.0" encoding="utf-8"?>
<formControlPr xmlns="http://schemas.microsoft.com/office/spreadsheetml/2009/9/main" objectType="Drop" dropLines="3" dropStyle="combo" dx="16" fmlaLink="$AN$28" fmlaRange="$AM$28:$AM$30" sel="1" val="0"/>
</file>

<file path=xl/ctrlProps/ctrlProp77.xml><?xml version="1.0" encoding="utf-8"?>
<formControlPr xmlns="http://schemas.microsoft.com/office/spreadsheetml/2009/9/main" objectType="Drop" dropLines="3" dropStyle="combo" dx="16" fmlaLink="$AN$32" fmlaRange="$AM$32:$AM$34" sel="1" val="0"/>
</file>

<file path=xl/ctrlProps/ctrlProp78.xml><?xml version="1.0" encoding="utf-8"?>
<formControlPr xmlns="http://schemas.microsoft.com/office/spreadsheetml/2009/9/main" objectType="Drop" dropLines="3" dropStyle="combo" dx="16" fmlaLink="$AN$37" fmlaRange="$AM$37:$AM$39" sel="1" val="0"/>
</file>

<file path=xl/ctrlProps/ctrlProp79.xml><?xml version="1.0" encoding="utf-8"?>
<formControlPr xmlns="http://schemas.microsoft.com/office/spreadsheetml/2009/9/main" objectType="Drop" dropLines="3" dropStyle="combo" dx="16" fmlaLink="$AN$41" fmlaRange="$AM$41:$AM$43" sel="1" val="0"/>
</file>

<file path=xl/ctrlProps/ctrlProp80.xml><?xml version="1.0" encoding="utf-8"?>
<formControlPr xmlns="http://schemas.microsoft.com/office/spreadsheetml/2009/9/main" objectType="Drop" dropLines="3" dropStyle="combo" dx="16" fmlaLink="$AN$45" fmlaRange="$AM$45:$AM$47" sel="1" val="0"/>
</file>

<file path=xl/ctrlProps/ctrlProp81.xml><?xml version="1.0" encoding="utf-8"?>
<formControlPr xmlns="http://schemas.microsoft.com/office/spreadsheetml/2009/9/main" objectType="Drop" dropLines="3" dropStyle="combo" dx="16" fmlaLink="$AN$49" fmlaRange="$AM$49:$AM$51" sel="1" val="0"/>
</file>

<file path=xl/ctrlProps/ctrlProp82.xml><?xml version="1.0" encoding="utf-8"?>
<formControlPr xmlns="http://schemas.microsoft.com/office/spreadsheetml/2009/9/main" objectType="Drop" dropLines="3" dropStyle="combo" dx="16" fmlaLink="$AN$53" fmlaRange="$AM$53:$AM$55" sel="1" val="0"/>
</file>

<file path=xl/ctrlProps/ctrlProp83.xml><?xml version="1.0" encoding="utf-8"?>
<formControlPr xmlns="http://schemas.microsoft.com/office/spreadsheetml/2009/9/main" objectType="Drop" dropLines="3" dropStyle="combo" dx="16" fmlaLink="$AN$57" fmlaRange="$AM$57:$AM$59" sel="1" val="0"/>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Drop" dropLines="5" dropStyle="combo" dx="16" fmlaLink="$BB$25" fmlaRange="$BC$19:$BC$23" sel="1" val="0"/>
</file>

<file path=xl/ctrlProps/ctrlProp87.xml><?xml version="1.0" encoding="utf-8"?>
<formControlPr xmlns="http://schemas.microsoft.com/office/spreadsheetml/2009/9/main" objectType="Drop" dropLines="6" dropStyle="combo" dx="16" fmlaLink="$AW$25" fmlaRange="$AX$19:$AX$24" sel="1" val="0"/>
</file>

<file path=xl/ctrlProps/ctrlProp88.xml><?xml version="1.0" encoding="utf-8"?>
<formControlPr xmlns="http://schemas.microsoft.com/office/spreadsheetml/2009/9/main" objectType="Drop" dropLines="4" dropStyle="combo" dx="16" fmlaLink="AR23" fmlaRange="$AS$18:$AS$21" sel="1"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21</xdr:row>
          <xdr:rowOff>0</xdr:rowOff>
        </xdr:from>
        <xdr:to>
          <xdr:col>4</xdr:col>
          <xdr:colOff>342900</xdr:colOff>
          <xdr:row>22</xdr:row>
          <xdr:rowOff>22860</xdr:rowOff>
        </xdr:to>
        <xdr:sp macro="" textlink="">
          <xdr:nvSpPr>
            <xdr:cNvPr id="7169" name="Drop Down 1"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525780</xdr:colOff>
          <xdr:row>6</xdr:row>
          <xdr:rowOff>30480</xdr:rowOff>
        </xdr:from>
        <xdr:to>
          <xdr:col>6</xdr:col>
          <xdr:colOff>464820</xdr:colOff>
          <xdr:row>7</xdr:row>
          <xdr:rowOff>83820</xdr:rowOff>
        </xdr:to>
        <xdr:sp macro="" textlink="">
          <xdr:nvSpPr>
            <xdr:cNvPr id="7170" name="Clear Cooperator Data"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464820</xdr:colOff>
          <xdr:row>4</xdr:row>
          <xdr:rowOff>76200</xdr:rowOff>
        </xdr:from>
        <xdr:to>
          <xdr:col>6</xdr:col>
          <xdr:colOff>495300</xdr:colOff>
          <xdr:row>5</xdr:row>
          <xdr:rowOff>121920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Print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21</xdr:row>
          <xdr:rowOff>0</xdr:rowOff>
        </xdr:from>
        <xdr:to>
          <xdr:col>10</xdr:col>
          <xdr:colOff>30480</xdr:colOff>
          <xdr:row>22</xdr:row>
          <xdr:rowOff>0</xdr:rowOff>
        </xdr:to>
        <xdr:sp macro="" textlink="">
          <xdr:nvSpPr>
            <xdr:cNvPr id="7173" name="Drop Down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533400</xdr:colOff>
          <xdr:row>20</xdr:row>
          <xdr:rowOff>0</xdr:rowOff>
        </xdr:from>
        <xdr:to>
          <xdr:col>10</xdr:col>
          <xdr:colOff>30480</xdr:colOff>
          <xdr:row>21</xdr:row>
          <xdr:rowOff>7620</xdr:rowOff>
        </xdr:to>
        <xdr:sp macro="" textlink="">
          <xdr:nvSpPr>
            <xdr:cNvPr id="7174" name="Drop Down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21</xdr:row>
          <xdr:rowOff>0</xdr:rowOff>
        </xdr:from>
        <xdr:to>
          <xdr:col>4</xdr:col>
          <xdr:colOff>335280</xdr:colOff>
          <xdr:row>21</xdr:row>
          <xdr:rowOff>228600</xdr:rowOff>
        </xdr:to>
        <xdr:sp macro="" textlink="">
          <xdr:nvSpPr>
            <xdr:cNvPr id="9217" name="Drop Down 1"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525780</xdr:colOff>
          <xdr:row>6</xdr:row>
          <xdr:rowOff>30480</xdr:rowOff>
        </xdr:from>
        <xdr:to>
          <xdr:col>6</xdr:col>
          <xdr:colOff>464820</xdr:colOff>
          <xdr:row>7</xdr:row>
          <xdr:rowOff>83820</xdr:rowOff>
        </xdr:to>
        <xdr:sp macro="" textlink="">
          <xdr:nvSpPr>
            <xdr:cNvPr id="9218" name="Clear Cooperator Data" hidden="1">
              <a:extLst>
                <a:ext uri="{63B3BB69-23CF-44E3-9099-C40C66FF867C}">
                  <a14:compatExt spid="_x0000_s9218"/>
                </a:ext>
                <a:ext uri="{FF2B5EF4-FFF2-40B4-BE49-F238E27FC236}">
                  <a16:creationId xmlns:a16="http://schemas.microsoft.com/office/drawing/2014/main" id="{00000000-0008-0000-0100-000002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464820</xdr:colOff>
          <xdr:row>4</xdr:row>
          <xdr:rowOff>76200</xdr:rowOff>
        </xdr:from>
        <xdr:to>
          <xdr:col>6</xdr:col>
          <xdr:colOff>495300</xdr:colOff>
          <xdr:row>5</xdr:row>
          <xdr:rowOff>121920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100-000003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Print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21</xdr:row>
          <xdr:rowOff>0</xdr:rowOff>
        </xdr:from>
        <xdr:to>
          <xdr:col>10</xdr:col>
          <xdr:colOff>22860</xdr:colOff>
          <xdr:row>21</xdr:row>
          <xdr:rowOff>213360</xdr:rowOff>
        </xdr:to>
        <xdr:sp macro="" textlink="">
          <xdr:nvSpPr>
            <xdr:cNvPr id="9220" name="Drop Down 4" hidden="1">
              <a:extLst>
                <a:ext uri="{63B3BB69-23CF-44E3-9099-C40C66FF867C}">
                  <a14:compatExt spid="_x0000_s9220"/>
                </a:ext>
                <a:ext uri="{FF2B5EF4-FFF2-40B4-BE49-F238E27FC236}">
                  <a16:creationId xmlns:a16="http://schemas.microsoft.com/office/drawing/2014/main" id="{00000000-0008-0000-0100-00000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65556</xdr:row>
          <xdr:rowOff>0</xdr:rowOff>
        </xdr:from>
        <xdr:to>
          <xdr:col>4</xdr:col>
          <xdr:colOff>335280</xdr:colOff>
          <xdr:row>65557</xdr:row>
          <xdr:rowOff>68580</xdr:rowOff>
        </xdr:to>
        <xdr:sp macro="" textlink="">
          <xdr:nvSpPr>
            <xdr:cNvPr id="9221" name="Drop Down 5" hidden="1">
              <a:extLst>
                <a:ext uri="{63B3BB69-23CF-44E3-9099-C40C66FF867C}">
                  <a14:compatExt spid="_x0000_s9221"/>
                </a:ext>
                <a:ext uri="{FF2B5EF4-FFF2-40B4-BE49-F238E27FC236}">
                  <a16:creationId xmlns:a16="http://schemas.microsoft.com/office/drawing/2014/main" id="{00000000-0008-0000-01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525780</xdr:colOff>
          <xdr:row>65541</xdr:row>
          <xdr:rowOff>30480</xdr:rowOff>
        </xdr:from>
        <xdr:to>
          <xdr:col>6</xdr:col>
          <xdr:colOff>464820</xdr:colOff>
          <xdr:row>65542</xdr:row>
          <xdr:rowOff>83820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100-000006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464820</xdr:colOff>
          <xdr:row>65539</xdr:row>
          <xdr:rowOff>76200</xdr:rowOff>
        </xdr:from>
        <xdr:to>
          <xdr:col>6</xdr:col>
          <xdr:colOff>495300</xdr:colOff>
          <xdr:row>65540</xdr:row>
          <xdr:rowOff>121920</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100-000007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Print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65555</xdr:row>
          <xdr:rowOff>0</xdr:rowOff>
        </xdr:from>
        <xdr:to>
          <xdr:col>10</xdr:col>
          <xdr:colOff>22860</xdr:colOff>
          <xdr:row>65556</xdr:row>
          <xdr:rowOff>45720</xdr:rowOff>
        </xdr:to>
        <xdr:sp macro="" textlink="">
          <xdr:nvSpPr>
            <xdr:cNvPr id="9224" name="Drop Down 8" hidden="1">
              <a:extLst>
                <a:ext uri="{63B3BB69-23CF-44E3-9099-C40C66FF867C}">
                  <a14:compatExt spid="_x0000_s9224"/>
                </a:ext>
                <a:ext uri="{FF2B5EF4-FFF2-40B4-BE49-F238E27FC236}">
                  <a16:creationId xmlns:a16="http://schemas.microsoft.com/office/drawing/2014/main" id="{00000000-0008-0000-01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131092</xdr:row>
          <xdr:rowOff>0</xdr:rowOff>
        </xdr:from>
        <xdr:to>
          <xdr:col>4</xdr:col>
          <xdr:colOff>335280</xdr:colOff>
          <xdr:row>131093</xdr:row>
          <xdr:rowOff>68580</xdr:rowOff>
        </xdr:to>
        <xdr:sp macro="" textlink="">
          <xdr:nvSpPr>
            <xdr:cNvPr id="9225" name="Drop Down 9" hidden="1">
              <a:extLst>
                <a:ext uri="{63B3BB69-23CF-44E3-9099-C40C66FF867C}">
                  <a14:compatExt spid="_x0000_s9225"/>
                </a:ext>
                <a:ext uri="{FF2B5EF4-FFF2-40B4-BE49-F238E27FC236}">
                  <a16:creationId xmlns:a16="http://schemas.microsoft.com/office/drawing/2014/main" id="{00000000-0008-0000-0100-00000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525780</xdr:colOff>
          <xdr:row>131077</xdr:row>
          <xdr:rowOff>30480</xdr:rowOff>
        </xdr:from>
        <xdr:to>
          <xdr:col>6</xdr:col>
          <xdr:colOff>464820</xdr:colOff>
          <xdr:row>131078</xdr:row>
          <xdr:rowOff>83820</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100-00000A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464820</xdr:colOff>
          <xdr:row>131075</xdr:row>
          <xdr:rowOff>76200</xdr:rowOff>
        </xdr:from>
        <xdr:to>
          <xdr:col>6</xdr:col>
          <xdr:colOff>495300</xdr:colOff>
          <xdr:row>131076</xdr:row>
          <xdr:rowOff>121920</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100-00000B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Print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131091</xdr:row>
          <xdr:rowOff>0</xdr:rowOff>
        </xdr:from>
        <xdr:to>
          <xdr:col>10</xdr:col>
          <xdr:colOff>22860</xdr:colOff>
          <xdr:row>131092</xdr:row>
          <xdr:rowOff>45720</xdr:rowOff>
        </xdr:to>
        <xdr:sp macro="" textlink="">
          <xdr:nvSpPr>
            <xdr:cNvPr id="9228" name="Drop Down 12" hidden="1">
              <a:extLst>
                <a:ext uri="{63B3BB69-23CF-44E3-9099-C40C66FF867C}">
                  <a14:compatExt spid="_x0000_s9228"/>
                </a:ext>
                <a:ext uri="{FF2B5EF4-FFF2-40B4-BE49-F238E27FC236}">
                  <a16:creationId xmlns:a16="http://schemas.microsoft.com/office/drawing/2014/main" id="{00000000-0008-0000-01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196628</xdr:row>
          <xdr:rowOff>0</xdr:rowOff>
        </xdr:from>
        <xdr:to>
          <xdr:col>4</xdr:col>
          <xdr:colOff>335280</xdr:colOff>
          <xdr:row>196629</xdr:row>
          <xdr:rowOff>68580</xdr:rowOff>
        </xdr:to>
        <xdr:sp macro="" textlink="">
          <xdr:nvSpPr>
            <xdr:cNvPr id="9229" name="Drop Down 13" hidden="1">
              <a:extLst>
                <a:ext uri="{63B3BB69-23CF-44E3-9099-C40C66FF867C}">
                  <a14:compatExt spid="_x0000_s9229"/>
                </a:ext>
                <a:ext uri="{FF2B5EF4-FFF2-40B4-BE49-F238E27FC236}">
                  <a16:creationId xmlns:a16="http://schemas.microsoft.com/office/drawing/2014/main" id="{00000000-0008-0000-0100-00000D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525780</xdr:colOff>
          <xdr:row>196613</xdr:row>
          <xdr:rowOff>30480</xdr:rowOff>
        </xdr:from>
        <xdr:to>
          <xdr:col>6</xdr:col>
          <xdr:colOff>464820</xdr:colOff>
          <xdr:row>196614</xdr:row>
          <xdr:rowOff>83820</xdr:rowOff>
        </xdr:to>
        <xdr:sp macro="" textlink="">
          <xdr:nvSpPr>
            <xdr:cNvPr id="9230" name="Button 14" hidden="1">
              <a:extLst>
                <a:ext uri="{63B3BB69-23CF-44E3-9099-C40C66FF867C}">
                  <a14:compatExt spid="_x0000_s9230"/>
                </a:ext>
                <a:ext uri="{FF2B5EF4-FFF2-40B4-BE49-F238E27FC236}">
                  <a16:creationId xmlns:a16="http://schemas.microsoft.com/office/drawing/2014/main" id="{00000000-0008-0000-0100-00000E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464820</xdr:colOff>
          <xdr:row>196611</xdr:row>
          <xdr:rowOff>76200</xdr:rowOff>
        </xdr:from>
        <xdr:to>
          <xdr:col>6</xdr:col>
          <xdr:colOff>495300</xdr:colOff>
          <xdr:row>196612</xdr:row>
          <xdr:rowOff>121920</xdr:rowOff>
        </xdr:to>
        <xdr:sp macro="" textlink="">
          <xdr:nvSpPr>
            <xdr:cNvPr id="9231" name="Button 15" hidden="1">
              <a:extLst>
                <a:ext uri="{63B3BB69-23CF-44E3-9099-C40C66FF867C}">
                  <a14:compatExt spid="_x0000_s9231"/>
                </a:ext>
                <a:ext uri="{FF2B5EF4-FFF2-40B4-BE49-F238E27FC236}">
                  <a16:creationId xmlns:a16="http://schemas.microsoft.com/office/drawing/2014/main" id="{00000000-0008-0000-0100-00000F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Print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196627</xdr:row>
          <xdr:rowOff>0</xdr:rowOff>
        </xdr:from>
        <xdr:to>
          <xdr:col>10</xdr:col>
          <xdr:colOff>22860</xdr:colOff>
          <xdr:row>196628</xdr:row>
          <xdr:rowOff>45720</xdr:rowOff>
        </xdr:to>
        <xdr:sp macro="" textlink="">
          <xdr:nvSpPr>
            <xdr:cNvPr id="9232" name="Drop Down 16" hidden="1">
              <a:extLst>
                <a:ext uri="{63B3BB69-23CF-44E3-9099-C40C66FF867C}">
                  <a14:compatExt spid="_x0000_s9232"/>
                </a:ext>
                <a:ext uri="{FF2B5EF4-FFF2-40B4-BE49-F238E27FC236}">
                  <a16:creationId xmlns:a16="http://schemas.microsoft.com/office/drawing/2014/main" id="{00000000-0008-0000-0100-00001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262164</xdr:row>
          <xdr:rowOff>0</xdr:rowOff>
        </xdr:from>
        <xdr:to>
          <xdr:col>4</xdr:col>
          <xdr:colOff>335280</xdr:colOff>
          <xdr:row>262165</xdr:row>
          <xdr:rowOff>68580</xdr:rowOff>
        </xdr:to>
        <xdr:sp macro="" textlink="">
          <xdr:nvSpPr>
            <xdr:cNvPr id="9233" name="Drop Down 17" hidden="1">
              <a:extLst>
                <a:ext uri="{63B3BB69-23CF-44E3-9099-C40C66FF867C}">
                  <a14:compatExt spid="_x0000_s9233"/>
                </a:ext>
                <a:ext uri="{FF2B5EF4-FFF2-40B4-BE49-F238E27FC236}">
                  <a16:creationId xmlns:a16="http://schemas.microsoft.com/office/drawing/2014/main" id="{00000000-0008-0000-0100-00001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525780</xdr:colOff>
          <xdr:row>262149</xdr:row>
          <xdr:rowOff>30480</xdr:rowOff>
        </xdr:from>
        <xdr:to>
          <xdr:col>6</xdr:col>
          <xdr:colOff>464820</xdr:colOff>
          <xdr:row>262150</xdr:row>
          <xdr:rowOff>83820</xdr:rowOff>
        </xdr:to>
        <xdr:sp macro="" textlink="">
          <xdr:nvSpPr>
            <xdr:cNvPr id="9234" name="Button 18" hidden="1">
              <a:extLst>
                <a:ext uri="{63B3BB69-23CF-44E3-9099-C40C66FF867C}">
                  <a14:compatExt spid="_x0000_s9234"/>
                </a:ext>
                <a:ext uri="{FF2B5EF4-FFF2-40B4-BE49-F238E27FC236}">
                  <a16:creationId xmlns:a16="http://schemas.microsoft.com/office/drawing/2014/main" id="{00000000-0008-0000-0100-000012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464820</xdr:colOff>
          <xdr:row>262147</xdr:row>
          <xdr:rowOff>76200</xdr:rowOff>
        </xdr:from>
        <xdr:to>
          <xdr:col>6</xdr:col>
          <xdr:colOff>495300</xdr:colOff>
          <xdr:row>262148</xdr:row>
          <xdr:rowOff>121920</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100-000013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Print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262163</xdr:row>
          <xdr:rowOff>0</xdr:rowOff>
        </xdr:from>
        <xdr:to>
          <xdr:col>10</xdr:col>
          <xdr:colOff>22860</xdr:colOff>
          <xdr:row>262164</xdr:row>
          <xdr:rowOff>45720</xdr:rowOff>
        </xdr:to>
        <xdr:sp macro="" textlink="">
          <xdr:nvSpPr>
            <xdr:cNvPr id="9236" name="Drop Down 20" hidden="1">
              <a:extLst>
                <a:ext uri="{63B3BB69-23CF-44E3-9099-C40C66FF867C}">
                  <a14:compatExt spid="_x0000_s9236"/>
                </a:ext>
                <a:ext uri="{FF2B5EF4-FFF2-40B4-BE49-F238E27FC236}">
                  <a16:creationId xmlns:a16="http://schemas.microsoft.com/office/drawing/2014/main" id="{00000000-0008-0000-0100-00001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327700</xdr:row>
          <xdr:rowOff>0</xdr:rowOff>
        </xdr:from>
        <xdr:to>
          <xdr:col>4</xdr:col>
          <xdr:colOff>335280</xdr:colOff>
          <xdr:row>327701</xdr:row>
          <xdr:rowOff>68580</xdr:rowOff>
        </xdr:to>
        <xdr:sp macro="" textlink="">
          <xdr:nvSpPr>
            <xdr:cNvPr id="9237" name="Drop Down 21" hidden="1">
              <a:extLst>
                <a:ext uri="{63B3BB69-23CF-44E3-9099-C40C66FF867C}">
                  <a14:compatExt spid="_x0000_s9237"/>
                </a:ext>
                <a:ext uri="{FF2B5EF4-FFF2-40B4-BE49-F238E27FC236}">
                  <a16:creationId xmlns:a16="http://schemas.microsoft.com/office/drawing/2014/main" id="{00000000-0008-0000-0100-00001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525780</xdr:colOff>
          <xdr:row>327685</xdr:row>
          <xdr:rowOff>30480</xdr:rowOff>
        </xdr:from>
        <xdr:to>
          <xdr:col>6</xdr:col>
          <xdr:colOff>464820</xdr:colOff>
          <xdr:row>327686</xdr:row>
          <xdr:rowOff>83820</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100-000016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464820</xdr:colOff>
          <xdr:row>327683</xdr:row>
          <xdr:rowOff>76200</xdr:rowOff>
        </xdr:from>
        <xdr:to>
          <xdr:col>6</xdr:col>
          <xdr:colOff>495300</xdr:colOff>
          <xdr:row>327684</xdr:row>
          <xdr:rowOff>121920</xdr:rowOff>
        </xdr:to>
        <xdr:sp macro="" textlink="">
          <xdr:nvSpPr>
            <xdr:cNvPr id="9239" name="Button 23" hidden="1">
              <a:extLst>
                <a:ext uri="{63B3BB69-23CF-44E3-9099-C40C66FF867C}">
                  <a14:compatExt spid="_x0000_s9239"/>
                </a:ext>
                <a:ext uri="{FF2B5EF4-FFF2-40B4-BE49-F238E27FC236}">
                  <a16:creationId xmlns:a16="http://schemas.microsoft.com/office/drawing/2014/main" id="{00000000-0008-0000-0100-000017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Print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327699</xdr:row>
          <xdr:rowOff>0</xdr:rowOff>
        </xdr:from>
        <xdr:to>
          <xdr:col>10</xdr:col>
          <xdr:colOff>22860</xdr:colOff>
          <xdr:row>327700</xdr:row>
          <xdr:rowOff>45720</xdr:rowOff>
        </xdr:to>
        <xdr:sp macro="" textlink="">
          <xdr:nvSpPr>
            <xdr:cNvPr id="9240" name="Drop Down 24" hidden="1">
              <a:extLst>
                <a:ext uri="{63B3BB69-23CF-44E3-9099-C40C66FF867C}">
                  <a14:compatExt spid="_x0000_s9240"/>
                </a:ext>
                <a:ext uri="{FF2B5EF4-FFF2-40B4-BE49-F238E27FC236}">
                  <a16:creationId xmlns:a16="http://schemas.microsoft.com/office/drawing/2014/main" id="{00000000-0008-0000-0100-00001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393236</xdr:row>
          <xdr:rowOff>0</xdr:rowOff>
        </xdr:from>
        <xdr:to>
          <xdr:col>4</xdr:col>
          <xdr:colOff>335280</xdr:colOff>
          <xdr:row>393237</xdr:row>
          <xdr:rowOff>68580</xdr:rowOff>
        </xdr:to>
        <xdr:sp macro="" textlink="">
          <xdr:nvSpPr>
            <xdr:cNvPr id="9241" name="Drop Down 25" hidden="1">
              <a:extLst>
                <a:ext uri="{63B3BB69-23CF-44E3-9099-C40C66FF867C}">
                  <a14:compatExt spid="_x0000_s9241"/>
                </a:ext>
                <a:ext uri="{FF2B5EF4-FFF2-40B4-BE49-F238E27FC236}">
                  <a16:creationId xmlns:a16="http://schemas.microsoft.com/office/drawing/2014/main" id="{00000000-0008-0000-0100-00001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525780</xdr:colOff>
          <xdr:row>393221</xdr:row>
          <xdr:rowOff>30480</xdr:rowOff>
        </xdr:from>
        <xdr:to>
          <xdr:col>6</xdr:col>
          <xdr:colOff>464820</xdr:colOff>
          <xdr:row>393222</xdr:row>
          <xdr:rowOff>83820</xdr:rowOff>
        </xdr:to>
        <xdr:sp macro="" textlink="">
          <xdr:nvSpPr>
            <xdr:cNvPr id="9242" name="Button 26" hidden="1">
              <a:extLst>
                <a:ext uri="{63B3BB69-23CF-44E3-9099-C40C66FF867C}">
                  <a14:compatExt spid="_x0000_s9242"/>
                </a:ext>
                <a:ext uri="{FF2B5EF4-FFF2-40B4-BE49-F238E27FC236}">
                  <a16:creationId xmlns:a16="http://schemas.microsoft.com/office/drawing/2014/main" id="{00000000-0008-0000-0100-00001A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464820</xdr:colOff>
          <xdr:row>393219</xdr:row>
          <xdr:rowOff>76200</xdr:rowOff>
        </xdr:from>
        <xdr:to>
          <xdr:col>6</xdr:col>
          <xdr:colOff>495300</xdr:colOff>
          <xdr:row>393220</xdr:row>
          <xdr:rowOff>121920</xdr:rowOff>
        </xdr:to>
        <xdr:sp macro="" textlink="">
          <xdr:nvSpPr>
            <xdr:cNvPr id="9243" name="Button 27" hidden="1">
              <a:extLst>
                <a:ext uri="{63B3BB69-23CF-44E3-9099-C40C66FF867C}">
                  <a14:compatExt spid="_x0000_s9243"/>
                </a:ext>
                <a:ext uri="{FF2B5EF4-FFF2-40B4-BE49-F238E27FC236}">
                  <a16:creationId xmlns:a16="http://schemas.microsoft.com/office/drawing/2014/main" id="{00000000-0008-0000-0100-00001B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Print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393235</xdr:row>
          <xdr:rowOff>0</xdr:rowOff>
        </xdr:from>
        <xdr:to>
          <xdr:col>10</xdr:col>
          <xdr:colOff>22860</xdr:colOff>
          <xdr:row>393236</xdr:row>
          <xdr:rowOff>45720</xdr:rowOff>
        </xdr:to>
        <xdr:sp macro="" textlink="">
          <xdr:nvSpPr>
            <xdr:cNvPr id="9244" name="Drop Down 28" hidden="1">
              <a:extLst>
                <a:ext uri="{63B3BB69-23CF-44E3-9099-C40C66FF867C}">
                  <a14:compatExt spid="_x0000_s9244"/>
                </a:ext>
                <a:ext uri="{FF2B5EF4-FFF2-40B4-BE49-F238E27FC236}">
                  <a16:creationId xmlns:a16="http://schemas.microsoft.com/office/drawing/2014/main" id="{00000000-0008-0000-0100-00001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458772</xdr:row>
          <xdr:rowOff>0</xdr:rowOff>
        </xdr:from>
        <xdr:to>
          <xdr:col>4</xdr:col>
          <xdr:colOff>335280</xdr:colOff>
          <xdr:row>458773</xdr:row>
          <xdr:rowOff>68580</xdr:rowOff>
        </xdr:to>
        <xdr:sp macro="" textlink="">
          <xdr:nvSpPr>
            <xdr:cNvPr id="9245" name="Drop Down 29" hidden="1">
              <a:extLst>
                <a:ext uri="{63B3BB69-23CF-44E3-9099-C40C66FF867C}">
                  <a14:compatExt spid="_x0000_s9245"/>
                </a:ext>
                <a:ext uri="{FF2B5EF4-FFF2-40B4-BE49-F238E27FC236}">
                  <a16:creationId xmlns:a16="http://schemas.microsoft.com/office/drawing/2014/main" id="{00000000-0008-0000-0100-00001D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525780</xdr:colOff>
          <xdr:row>458757</xdr:row>
          <xdr:rowOff>30480</xdr:rowOff>
        </xdr:from>
        <xdr:to>
          <xdr:col>6</xdr:col>
          <xdr:colOff>464820</xdr:colOff>
          <xdr:row>458758</xdr:row>
          <xdr:rowOff>83820</xdr:rowOff>
        </xdr:to>
        <xdr:sp macro="" textlink="">
          <xdr:nvSpPr>
            <xdr:cNvPr id="9246" name="Button 30" hidden="1">
              <a:extLst>
                <a:ext uri="{63B3BB69-23CF-44E3-9099-C40C66FF867C}">
                  <a14:compatExt spid="_x0000_s9246"/>
                </a:ext>
                <a:ext uri="{FF2B5EF4-FFF2-40B4-BE49-F238E27FC236}">
                  <a16:creationId xmlns:a16="http://schemas.microsoft.com/office/drawing/2014/main" id="{00000000-0008-0000-0100-00001E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464820</xdr:colOff>
          <xdr:row>458755</xdr:row>
          <xdr:rowOff>76200</xdr:rowOff>
        </xdr:from>
        <xdr:to>
          <xdr:col>6</xdr:col>
          <xdr:colOff>495300</xdr:colOff>
          <xdr:row>458756</xdr:row>
          <xdr:rowOff>121920</xdr:rowOff>
        </xdr:to>
        <xdr:sp macro="" textlink="">
          <xdr:nvSpPr>
            <xdr:cNvPr id="9247" name="Button 31" hidden="1">
              <a:extLst>
                <a:ext uri="{63B3BB69-23CF-44E3-9099-C40C66FF867C}">
                  <a14:compatExt spid="_x0000_s9247"/>
                </a:ext>
                <a:ext uri="{FF2B5EF4-FFF2-40B4-BE49-F238E27FC236}">
                  <a16:creationId xmlns:a16="http://schemas.microsoft.com/office/drawing/2014/main" id="{00000000-0008-0000-0100-00001F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Print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458771</xdr:row>
          <xdr:rowOff>0</xdr:rowOff>
        </xdr:from>
        <xdr:to>
          <xdr:col>10</xdr:col>
          <xdr:colOff>22860</xdr:colOff>
          <xdr:row>458772</xdr:row>
          <xdr:rowOff>45720</xdr:rowOff>
        </xdr:to>
        <xdr:sp macro="" textlink="">
          <xdr:nvSpPr>
            <xdr:cNvPr id="9248" name="Drop Down 32" hidden="1">
              <a:extLst>
                <a:ext uri="{63B3BB69-23CF-44E3-9099-C40C66FF867C}">
                  <a14:compatExt spid="_x0000_s9248"/>
                </a:ext>
                <a:ext uri="{FF2B5EF4-FFF2-40B4-BE49-F238E27FC236}">
                  <a16:creationId xmlns:a16="http://schemas.microsoft.com/office/drawing/2014/main" id="{00000000-0008-0000-0100-00002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524308</xdr:row>
          <xdr:rowOff>0</xdr:rowOff>
        </xdr:from>
        <xdr:to>
          <xdr:col>4</xdr:col>
          <xdr:colOff>335280</xdr:colOff>
          <xdr:row>524309</xdr:row>
          <xdr:rowOff>68580</xdr:rowOff>
        </xdr:to>
        <xdr:sp macro="" textlink="">
          <xdr:nvSpPr>
            <xdr:cNvPr id="9249" name="Drop Down 33" hidden="1">
              <a:extLst>
                <a:ext uri="{63B3BB69-23CF-44E3-9099-C40C66FF867C}">
                  <a14:compatExt spid="_x0000_s9249"/>
                </a:ext>
                <a:ext uri="{FF2B5EF4-FFF2-40B4-BE49-F238E27FC236}">
                  <a16:creationId xmlns:a16="http://schemas.microsoft.com/office/drawing/2014/main" id="{00000000-0008-0000-0100-00002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525780</xdr:colOff>
          <xdr:row>524293</xdr:row>
          <xdr:rowOff>30480</xdr:rowOff>
        </xdr:from>
        <xdr:to>
          <xdr:col>6</xdr:col>
          <xdr:colOff>464820</xdr:colOff>
          <xdr:row>524294</xdr:row>
          <xdr:rowOff>83820</xdr:rowOff>
        </xdr:to>
        <xdr:sp macro="" textlink="">
          <xdr:nvSpPr>
            <xdr:cNvPr id="9250" name="Button 34" hidden="1">
              <a:extLst>
                <a:ext uri="{63B3BB69-23CF-44E3-9099-C40C66FF867C}">
                  <a14:compatExt spid="_x0000_s9250"/>
                </a:ext>
                <a:ext uri="{FF2B5EF4-FFF2-40B4-BE49-F238E27FC236}">
                  <a16:creationId xmlns:a16="http://schemas.microsoft.com/office/drawing/2014/main" id="{00000000-0008-0000-0100-000022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464820</xdr:colOff>
          <xdr:row>524291</xdr:row>
          <xdr:rowOff>76200</xdr:rowOff>
        </xdr:from>
        <xdr:to>
          <xdr:col>6</xdr:col>
          <xdr:colOff>495300</xdr:colOff>
          <xdr:row>524292</xdr:row>
          <xdr:rowOff>121920</xdr:rowOff>
        </xdr:to>
        <xdr:sp macro="" textlink="">
          <xdr:nvSpPr>
            <xdr:cNvPr id="9251" name="Button 35" hidden="1">
              <a:extLst>
                <a:ext uri="{63B3BB69-23CF-44E3-9099-C40C66FF867C}">
                  <a14:compatExt spid="_x0000_s9251"/>
                </a:ext>
                <a:ext uri="{FF2B5EF4-FFF2-40B4-BE49-F238E27FC236}">
                  <a16:creationId xmlns:a16="http://schemas.microsoft.com/office/drawing/2014/main" id="{00000000-0008-0000-0100-000023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Print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524307</xdr:row>
          <xdr:rowOff>0</xdr:rowOff>
        </xdr:from>
        <xdr:to>
          <xdr:col>10</xdr:col>
          <xdr:colOff>22860</xdr:colOff>
          <xdr:row>524308</xdr:row>
          <xdr:rowOff>45720</xdr:rowOff>
        </xdr:to>
        <xdr:sp macro="" textlink="">
          <xdr:nvSpPr>
            <xdr:cNvPr id="9252" name="Drop Down 36" hidden="1">
              <a:extLst>
                <a:ext uri="{63B3BB69-23CF-44E3-9099-C40C66FF867C}">
                  <a14:compatExt spid="_x0000_s9252"/>
                </a:ext>
                <a:ext uri="{FF2B5EF4-FFF2-40B4-BE49-F238E27FC236}">
                  <a16:creationId xmlns:a16="http://schemas.microsoft.com/office/drawing/2014/main" id="{00000000-0008-0000-0100-00002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589844</xdr:row>
          <xdr:rowOff>0</xdr:rowOff>
        </xdr:from>
        <xdr:to>
          <xdr:col>4</xdr:col>
          <xdr:colOff>335280</xdr:colOff>
          <xdr:row>589845</xdr:row>
          <xdr:rowOff>68580</xdr:rowOff>
        </xdr:to>
        <xdr:sp macro="" textlink="">
          <xdr:nvSpPr>
            <xdr:cNvPr id="9253" name="Drop Down 37" hidden="1">
              <a:extLst>
                <a:ext uri="{63B3BB69-23CF-44E3-9099-C40C66FF867C}">
                  <a14:compatExt spid="_x0000_s9253"/>
                </a:ext>
                <a:ext uri="{FF2B5EF4-FFF2-40B4-BE49-F238E27FC236}">
                  <a16:creationId xmlns:a16="http://schemas.microsoft.com/office/drawing/2014/main" id="{00000000-0008-0000-0100-00002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525780</xdr:colOff>
          <xdr:row>589829</xdr:row>
          <xdr:rowOff>30480</xdr:rowOff>
        </xdr:from>
        <xdr:to>
          <xdr:col>6</xdr:col>
          <xdr:colOff>464820</xdr:colOff>
          <xdr:row>589830</xdr:row>
          <xdr:rowOff>83820</xdr:rowOff>
        </xdr:to>
        <xdr:sp macro="" textlink="">
          <xdr:nvSpPr>
            <xdr:cNvPr id="9254" name="Button 38" hidden="1">
              <a:extLst>
                <a:ext uri="{63B3BB69-23CF-44E3-9099-C40C66FF867C}">
                  <a14:compatExt spid="_x0000_s9254"/>
                </a:ext>
                <a:ext uri="{FF2B5EF4-FFF2-40B4-BE49-F238E27FC236}">
                  <a16:creationId xmlns:a16="http://schemas.microsoft.com/office/drawing/2014/main" id="{00000000-0008-0000-0100-000026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464820</xdr:colOff>
          <xdr:row>589827</xdr:row>
          <xdr:rowOff>76200</xdr:rowOff>
        </xdr:from>
        <xdr:to>
          <xdr:col>6</xdr:col>
          <xdr:colOff>495300</xdr:colOff>
          <xdr:row>589828</xdr:row>
          <xdr:rowOff>121920</xdr:rowOff>
        </xdr:to>
        <xdr:sp macro="" textlink="">
          <xdr:nvSpPr>
            <xdr:cNvPr id="9255" name="Button 39" hidden="1">
              <a:extLst>
                <a:ext uri="{63B3BB69-23CF-44E3-9099-C40C66FF867C}">
                  <a14:compatExt spid="_x0000_s9255"/>
                </a:ext>
                <a:ext uri="{FF2B5EF4-FFF2-40B4-BE49-F238E27FC236}">
                  <a16:creationId xmlns:a16="http://schemas.microsoft.com/office/drawing/2014/main" id="{00000000-0008-0000-0100-000027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Print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589843</xdr:row>
          <xdr:rowOff>0</xdr:rowOff>
        </xdr:from>
        <xdr:to>
          <xdr:col>10</xdr:col>
          <xdr:colOff>22860</xdr:colOff>
          <xdr:row>589844</xdr:row>
          <xdr:rowOff>45720</xdr:rowOff>
        </xdr:to>
        <xdr:sp macro="" textlink="">
          <xdr:nvSpPr>
            <xdr:cNvPr id="9256" name="Drop Down 40" hidden="1">
              <a:extLst>
                <a:ext uri="{63B3BB69-23CF-44E3-9099-C40C66FF867C}">
                  <a14:compatExt spid="_x0000_s9256"/>
                </a:ext>
                <a:ext uri="{FF2B5EF4-FFF2-40B4-BE49-F238E27FC236}">
                  <a16:creationId xmlns:a16="http://schemas.microsoft.com/office/drawing/2014/main" id="{00000000-0008-0000-0100-00002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655380</xdr:row>
          <xdr:rowOff>0</xdr:rowOff>
        </xdr:from>
        <xdr:to>
          <xdr:col>4</xdr:col>
          <xdr:colOff>335280</xdr:colOff>
          <xdr:row>655381</xdr:row>
          <xdr:rowOff>68580</xdr:rowOff>
        </xdr:to>
        <xdr:sp macro="" textlink="">
          <xdr:nvSpPr>
            <xdr:cNvPr id="9257" name="Drop Down 41" hidden="1">
              <a:extLst>
                <a:ext uri="{63B3BB69-23CF-44E3-9099-C40C66FF867C}">
                  <a14:compatExt spid="_x0000_s9257"/>
                </a:ext>
                <a:ext uri="{FF2B5EF4-FFF2-40B4-BE49-F238E27FC236}">
                  <a16:creationId xmlns:a16="http://schemas.microsoft.com/office/drawing/2014/main" id="{00000000-0008-0000-0100-00002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525780</xdr:colOff>
          <xdr:row>655365</xdr:row>
          <xdr:rowOff>30480</xdr:rowOff>
        </xdr:from>
        <xdr:to>
          <xdr:col>6</xdr:col>
          <xdr:colOff>464820</xdr:colOff>
          <xdr:row>655366</xdr:row>
          <xdr:rowOff>83820</xdr:rowOff>
        </xdr:to>
        <xdr:sp macro="" textlink="">
          <xdr:nvSpPr>
            <xdr:cNvPr id="9258" name="Button 42" hidden="1">
              <a:extLst>
                <a:ext uri="{63B3BB69-23CF-44E3-9099-C40C66FF867C}">
                  <a14:compatExt spid="_x0000_s9258"/>
                </a:ext>
                <a:ext uri="{FF2B5EF4-FFF2-40B4-BE49-F238E27FC236}">
                  <a16:creationId xmlns:a16="http://schemas.microsoft.com/office/drawing/2014/main" id="{00000000-0008-0000-0100-00002A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464820</xdr:colOff>
          <xdr:row>655363</xdr:row>
          <xdr:rowOff>76200</xdr:rowOff>
        </xdr:from>
        <xdr:to>
          <xdr:col>6</xdr:col>
          <xdr:colOff>495300</xdr:colOff>
          <xdr:row>655364</xdr:row>
          <xdr:rowOff>121920</xdr:rowOff>
        </xdr:to>
        <xdr:sp macro="" textlink="">
          <xdr:nvSpPr>
            <xdr:cNvPr id="9259" name="Button 43" hidden="1">
              <a:extLst>
                <a:ext uri="{63B3BB69-23CF-44E3-9099-C40C66FF867C}">
                  <a14:compatExt spid="_x0000_s9259"/>
                </a:ext>
                <a:ext uri="{FF2B5EF4-FFF2-40B4-BE49-F238E27FC236}">
                  <a16:creationId xmlns:a16="http://schemas.microsoft.com/office/drawing/2014/main" id="{00000000-0008-0000-0100-00002B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Print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655379</xdr:row>
          <xdr:rowOff>0</xdr:rowOff>
        </xdr:from>
        <xdr:to>
          <xdr:col>10</xdr:col>
          <xdr:colOff>22860</xdr:colOff>
          <xdr:row>655380</xdr:row>
          <xdr:rowOff>45720</xdr:rowOff>
        </xdr:to>
        <xdr:sp macro="" textlink="">
          <xdr:nvSpPr>
            <xdr:cNvPr id="9260" name="Drop Down 44" hidden="1">
              <a:extLst>
                <a:ext uri="{63B3BB69-23CF-44E3-9099-C40C66FF867C}">
                  <a14:compatExt spid="_x0000_s9260"/>
                </a:ext>
                <a:ext uri="{FF2B5EF4-FFF2-40B4-BE49-F238E27FC236}">
                  <a16:creationId xmlns:a16="http://schemas.microsoft.com/office/drawing/2014/main" id="{00000000-0008-0000-0100-00002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720916</xdr:row>
          <xdr:rowOff>0</xdr:rowOff>
        </xdr:from>
        <xdr:to>
          <xdr:col>4</xdr:col>
          <xdr:colOff>335280</xdr:colOff>
          <xdr:row>720917</xdr:row>
          <xdr:rowOff>68580</xdr:rowOff>
        </xdr:to>
        <xdr:sp macro="" textlink="">
          <xdr:nvSpPr>
            <xdr:cNvPr id="9261" name="Drop Down 45" hidden="1">
              <a:extLst>
                <a:ext uri="{63B3BB69-23CF-44E3-9099-C40C66FF867C}">
                  <a14:compatExt spid="_x0000_s9261"/>
                </a:ext>
                <a:ext uri="{FF2B5EF4-FFF2-40B4-BE49-F238E27FC236}">
                  <a16:creationId xmlns:a16="http://schemas.microsoft.com/office/drawing/2014/main" id="{00000000-0008-0000-0100-00002D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525780</xdr:colOff>
          <xdr:row>720901</xdr:row>
          <xdr:rowOff>30480</xdr:rowOff>
        </xdr:from>
        <xdr:to>
          <xdr:col>6</xdr:col>
          <xdr:colOff>464820</xdr:colOff>
          <xdr:row>720902</xdr:row>
          <xdr:rowOff>83820</xdr:rowOff>
        </xdr:to>
        <xdr:sp macro="" textlink="">
          <xdr:nvSpPr>
            <xdr:cNvPr id="9262" name="Button 46" hidden="1">
              <a:extLst>
                <a:ext uri="{63B3BB69-23CF-44E3-9099-C40C66FF867C}">
                  <a14:compatExt spid="_x0000_s9262"/>
                </a:ext>
                <a:ext uri="{FF2B5EF4-FFF2-40B4-BE49-F238E27FC236}">
                  <a16:creationId xmlns:a16="http://schemas.microsoft.com/office/drawing/2014/main" id="{00000000-0008-0000-0100-00002E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464820</xdr:colOff>
          <xdr:row>720899</xdr:row>
          <xdr:rowOff>76200</xdr:rowOff>
        </xdr:from>
        <xdr:to>
          <xdr:col>6</xdr:col>
          <xdr:colOff>495300</xdr:colOff>
          <xdr:row>720900</xdr:row>
          <xdr:rowOff>121920</xdr:rowOff>
        </xdr:to>
        <xdr:sp macro="" textlink="">
          <xdr:nvSpPr>
            <xdr:cNvPr id="9263" name="Button 47" hidden="1">
              <a:extLst>
                <a:ext uri="{63B3BB69-23CF-44E3-9099-C40C66FF867C}">
                  <a14:compatExt spid="_x0000_s9263"/>
                </a:ext>
                <a:ext uri="{FF2B5EF4-FFF2-40B4-BE49-F238E27FC236}">
                  <a16:creationId xmlns:a16="http://schemas.microsoft.com/office/drawing/2014/main" id="{00000000-0008-0000-0100-00002F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Print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720915</xdr:row>
          <xdr:rowOff>0</xdr:rowOff>
        </xdr:from>
        <xdr:to>
          <xdr:col>10</xdr:col>
          <xdr:colOff>22860</xdr:colOff>
          <xdr:row>720916</xdr:row>
          <xdr:rowOff>45720</xdr:rowOff>
        </xdr:to>
        <xdr:sp macro="" textlink="">
          <xdr:nvSpPr>
            <xdr:cNvPr id="9264" name="Drop Down 48" hidden="1">
              <a:extLst>
                <a:ext uri="{63B3BB69-23CF-44E3-9099-C40C66FF867C}">
                  <a14:compatExt spid="_x0000_s9264"/>
                </a:ext>
                <a:ext uri="{FF2B5EF4-FFF2-40B4-BE49-F238E27FC236}">
                  <a16:creationId xmlns:a16="http://schemas.microsoft.com/office/drawing/2014/main" id="{00000000-0008-0000-0100-00003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786452</xdr:row>
          <xdr:rowOff>0</xdr:rowOff>
        </xdr:from>
        <xdr:to>
          <xdr:col>4</xdr:col>
          <xdr:colOff>335280</xdr:colOff>
          <xdr:row>786453</xdr:row>
          <xdr:rowOff>68580</xdr:rowOff>
        </xdr:to>
        <xdr:sp macro="" textlink="">
          <xdr:nvSpPr>
            <xdr:cNvPr id="9265" name="Drop Down 49" hidden="1">
              <a:extLst>
                <a:ext uri="{63B3BB69-23CF-44E3-9099-C40C66FF867C}">
                  <a14:compatExt spid="_x0000_s9265"/>
                </a:ext>
                <a:ext uri="{FF2B5EF4-FFF2-40B4-BE49-F238E27FC236}">
                  <a16:creationId xmlns:a16="http://schemas.microsoft.com/office/drawing/2014/main" id="{00000000-0008-0000-0100-00003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525780</xdr:colOff>
          <xdr:row>786437</xdr:row>
          <xdr:rowOff>30480</xdr:rowOff>
        </xdr:from>
        <xdr:to>
          <xdr:col>6</xdr:col>
          <xdr:colOff>464820</xdr:colOff>
          <xdr:row>786438</xdr:row>
          <xdr:rowOff>83820</xdr:rowOff>
        </xdr:to>
        <xdr:sp macro="" textlink="">
          <xdr:nvSpPr>
            <xdr:cNvPr id="9266" name="Button 50" hidden="1">
              <a:extLst>
                <a:ext uri="{63B3BB69-23CF-44E3-9099-C40C66FF867C}">
                  <a14:compatExt spid="_x0000_s9266"/>
                </a:ext>
                <a:ext uri="{FF2B5EF4-FFF2-40B4-BE49-F238E27FC236}">
                  <a16:creationId xmlns:a16="http://schemas.microsoft.com/office/drawing/2014/main" id="{00000000-0008-0000-0100-000032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464820</xdr:colOff>
          <xdr:row>786435</xdr:row>
          <xdr:rowOff>76200</xdr:rowOff>
        </xdr:from>
        <xdr:to>
          <xdr:col>6</xdr:col>
          <xdr:colOff>495300</xdr:colOff>
          <xdr:row>786436</xdr:row>
          <xdr:rowOff>121920</xdr:rowOff>
        </xdr:to>
        <xdr:sp macro="" textlink="">
          <xdr:nvSpPr>
            <xdr:cNvPr id="9267" name="Button 51" hidden="1">
              <a:extLst>
                <a:ext uri="{63B3BB69-23CF-44E3-9099-C40C66FF867C}">
                  <a14:compatExt spid="_x0000_s9267"/>
                </a:ext>
                <a:ext uri="{FF2B5EF4-FFF2-40B4-BE49-F238E27FC236}">
                  <a16:creationId xmlns:a16="http://schemas.microsoft.com/office/drawing/2014/main" id="{00000000-0008-0000-0100-000033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Print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786451</xdr:row>
          <xdr:rowOff>0</xdr:rowOff>
        </xdr:from>
        <xdr:to>
          <xdr:col>10</xdr:col>
          <xdr:colOff>22860</xdr:colOff>
          <xdr:row>786452</xdr:row>
          <xdr:rowOff>45720</xdr:rowOff>
        </xdr:to>
        <xdr:sp macro="" textlink="">
          <xdr:nvSpPr>
            <xdr:cNvPr id="9268" name="Drop Down 52" hidden="1">
              <a:extLst>
                <a:ext uri="{63B3BB69-23CF-44E3-9099-C40C66FF867C}">
                  <a14:compatExt spid="_x0000_s9268"/>
                </a:ext>
                <a:ext uri="{FF2B5EF4-FFF2-40B4-BE49-F238E27FC236}">
                  <a16:creationId xmlns:a16="http://schemas.microsoft.com/office/drawing/2014/main" id="{00000000-0008-0000-0100-00003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851988</xdr:row>
          <xdr:rowOff>0</xdr:rowOff>
        </xdr:from>
        <xdr:to>
          <xdr:col>4</xdr:col>
          <xdr:colOff>335280</xdr:colOff>
          <xdr:row>851989</xdr:row>
          <xdr:rowOff>68580</xdr:rowOff>
        </xdr:to>
        <xdr:sp macro="" textlink="">
          <xdr:nvSpPr>
            <xdr:cNvPr id="9269" name="Drop Down 53" hidden="1">
              <a:extLst>
                <a:ext uri="{63B3BB69-23CF-44E3-9099-C40C66FF867C}">
                  <a14:compatExt spid="_x0000_s9269"/>
                </a:ext>
                <a:ext uri="{FF2B5EF4-FFF2-40B4-BE49-F238E27FC236}">
                  <a16:creationId xmlns:a16="http://schemas.microsoft.com/office/drawing/2014/main" id="{00000000-0008-0000-0100-00003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525780</xdr:colOff>
          <xdr:row>851973</xdr:row>
          <xdr:rowOff>30480</xdr:rowOff>
        </xdr:from>
        <xdr:to>
          <xdr:col>6</xdr:col>
          <xdr:colOff>464820</xdr:colOff>
          <xdr:row>851974</xdr:row>
          <xdr:rowOff>83820</xdr:rowOff>
        </xdr:to>
        <xdr:sp macro="" textlink="">
          <xdr:nvSpPr>
            <xdr:cNvPr id="9270" name="Button 54" hidden="1">
              <a:extLst>
                <a:ext uri="{63B3BB69-23CF-44E3-9099-C40C66FF867C}">
                  <a14:compatExt spid="_x0000_s9270"/>
                </a:ext>
                <a:ext uri="{FF2B5EF4-FFF2-40B4-BE49-F238E27FC236}">
                  <a16:creationId xmlns:a16="http://schemas.microsoft.com/office/drawing/2014/main" id="{00000000-0008-0000-0100-000036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464820</xdr:colOff>
          <xdr:row>851971</xdr:row>
          <xdr:rowOff>76200</xdr:rowOff>
        </xdr:from>
        <xdr:to>
          <xdr:col>6</xdr:col>
          <xdr:colOff>495300</xdr:colOff>
          <xdr:row>851972</xdr:row>
          <xdr:rowOff>121920</xdr:rowOff>
        </xdr:to>
        <xdr:sp macro="" textlink="">
          <xdr:nvSpPr>
            <xdr:cNvPr id="9271" name="Button 55" hidden="1">
              <a:extLst>
                <a:ext uri="{63B3BB69-23CF-44E3-9099-C40C66FF867C}">
                  <a14:compatExt spid="_x0000_s9271"/>
                </a:ext>
                <a:ext uri="{FF2B5EF4-FFF2-40B4-BE49-F238E27FC236}">
                  <a16:creationId xmlns:a16="http://schemas.microsoft.com/office/drawing/2014/main" id="{00000000-0008-0000-0100-000037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Print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851987</xdr:row>
          <xdr:rowOff>0</xdr:rowOff>
        </xdr:from>
        <xdr:to>
          <xdr:col>10</xdr:col>
          <xdr:colOff>22860</xdr:colOff>
          <xdr:row>851988</xdr:row>
          <xdr:rowOff>45720</xdr:rowOff>
        </xdr:to>
        <xdr:sp macro="" textlink="">
          <xdr:nvSpPr>
            <xdr:cNvPr id="9272" name="Drop Down 56" hidden="1">
              <a:extLst>
                <a:ext uri="{63B3BB69-23CF-44E3-9099-C40C66FF867C}">
                  <a14:compatExt spid="_x0000_s9272"/>
                </a:ext>
                <a:ext uri="{FF2B5EF4-FFF2-40B4-BE49-F238E27FC236}">
                  <a16:creationId xmlns:a16="http://schemas.microsoft.com/office/drawing/2014/main" id="{00000000-0008-0000-0100-00003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917524</xdr:row>
          <xdr:rowOff>0</xdr:rowOff>
        </xdr:from>
        <xdr:to>
          <xdr:col>4</xdr:col>
          <xdr:colOff>335280</xdr:colOff>
          <xdr:row>917525</xdr:row>
          <xdr:rowOff>68580</xdr:rowOff>
        </xdr:to>
        <xdr:sp macro="" textlink="">
          <xdr:nvSpPr>
            <xdr:cNvPr id="9273" name="Drop Down 57" hidden="1">
              <a:extLst>
                <a:ext uri="{63B3BB69-23CF-44E3-9099-C40C66FF867C}">
                  <a14:compatExt spid="_x0000_s9273"/>
                </a:ext>
                <a:ext uri="{FF2B5EF4-FFF2-40B4-BE49-F238E27FC236}">
                  <a16:creationId xmlns:a16="http://schemas.microsoft.com/office/drawing/2014/main" id="{00000000-0008-0000-0100-00003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525780</xdr:colOff>
          <xdr:row>917509</xdr:row>
          <xdr:rowOff>30480</xdr:rowOff>
        </xdr:from>
        <xdr:to>
          <xdr:col>6</xdr:col>
          <xdr:colOff>464820</xdr:colOff>
          <xdr:row>917510</xdr:row>
          <xdr:rowOff>83820</xdr:rowOff>
        </xdr:to>
        <xdr:sp macro="" textlink="">
          <xdr:nvSpPr>
            <xdr:cNvPr id="9274" name="Button 58" hidden="1">
              <a:extLst>
                <a:ext uri="{63B3BB69-23CF-44E3-9099-C40C66FF867C}">
                  <a14:compatExt spid="_x0000_s9274"/>
                </a:ext>
                <a:ext uri="{FF2B5EF4-FFF2-40B4-BE49-F238E27FC236}">
                  <a16:creationId xmlns:a16="http://schemas.microsoft.com/office/drawing/2014/main" id="{00000000-0008-0000-0100-00003A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464820</xdr:colOff>
          <xdr:row>917507</xdr:row>
          <xdr:rowOff>76200</xdr:rowOff>
        </xdr:from>
        <xdr:to>
          <xdr:col>6</xdr:col>
          <xdr:colOff>495300</xdr:colOff>
          <xdr:row>917508</xdr:row>
          <xdr:rowOff>121920</xdr:rowOff>
        </xdr:to>
        <xdr:sp macro="" textlink="">
          <xdr:nvSpPr>
            <xdr:cNvPr id="9275" name="Button 59" hidden="1">
              <a:extLst>
                <a:ext uri="{63B3BB69-23CF-44E3-9099-C40C66FF867C}">
                  <a14:compatExt spid="_x0000_s9275"/>
                </a:ext>
                <a:ext uri="{FF2B5EF4-FFF2-40B4-BE49-F238E27FC236}">
                  <a16:creationId xmlns:a16="http://schemas.microsoft.com/office/drawing/2014/main" id="{00000000-0008-0000-0100-00003B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Print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917523</xdr:row>
          <xdr:rowOff>0</xdr:rowOff>
        </xdr:from>
        <xdr:to>
          <xdr:col>10</xdr:col>
          <xdr:colOff>22860</xdr:colOff>
          <xdr:row>917524</xdr:row>
          <xdr:rowOff>45720</xdr:rowOff>
        </xdr:to>
        <xdr:sp macro="" textlink="">
          <xdr:nvSpPr>
            <xdr:cNvPr id="9276" name="Drop Down 60" hidden="1">
              <a:extLst>
                <a:ext uri="{63B3BB69-23CF-44E3-9099-C40C66FF867C}">
                  <a14:compatExt spid="_x0000_s9276"/>
                </a:ext>
                <a:ext uri="{FF2B5EF4-FFF2-40B4-BE49-F238E27FC236}">
                  <a16:creationId xmlns:a16="http://schemas.microsoft.com/office/drawing/2014/main" id="{00000000-0008-0000-0100-00003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983060</xdr:row>
          <xdr:rowOff>0</xdr:rowOff>
        </xdr:from>
        <xdr:to>
          <xdr:col>4</xdr:col>
          <xdr:colOff>335280</xdr:colOff>
          <xdr:row>983061</xdr:row>
          <xdr:rowOff>68580</xdr:rowOff>
        </xdr:to>
        <xdr:sp macro="" textlink="">
          <xdr:nvSpPr>
            <xdr:cNvPr id="9277" name="Drop Down 61" hidden="1">
              <a:extLst>
                <a:ext uri="{63B3BB69-23CF-44E3-9099-C40C66FF867C}">
                  <a14:compatExt spid="_x0000_s9277"/>
                </a:ext>
                <a:ext uri="{FF2B5EF4-FFF2-40B4-BE49-F238E27FC236}">
                  <a16:creationId xmlns:a16="http://schemas.microsoft.com/office/drawing/2014/main" id="{00000000-0008-0000-0100-00003D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525780</xdr:colOff>
          <xdr:row>983045</xdr:row>
          <xdr:rowOff>30480</xdr:rowOff>
        </xdr:from>
        <xdr:to>
          <xdr:col>6</xdr:col>
          <xdr:colOff>464820</xdr:colOff>
          <xdr:row>983046</xdr:row>
          <xdr:rowOff>83820</xdr:rowOff>
        </xdr:to>
        <xdr:sp macro="" textlink="">
          <xdr:nvSpPr>
            <xdr:cNvPr id="9278" name="Button 62" hidden="1">
              <a:extLst>
                <a:ext uri="{63B3BB69-23CF-44E3-9099-C40C66FF867C}">
                  <a14:compatExt spid="_x0000_s9278"/>
                </a:ext>
                <a:ext uri="{FF2B5EF4-FFF2-40B4-BE49-F238E27FC236}">
                  <a16:creationId xmlns:a16="http://schemas.microsoft.com/office/drawing/2014/main" id="{00000000-0008-0000-0100-00003E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464820</xdr:colOff>
          <xdr:row>983043</xdr:row>
          <xdr:rowOff>76200</xdr:rowOff>
        </xdr:from>
        <xdr:to>
          <xdr:col>6</xdr:col>
          <xdr:colOff>495300</xdr:colOff>
          <xdr:row>983044</xdr:row>
          <xdr:rowOff>121920</xdr:rowOff>
        </xdr:to>
        <xdr:sp macro="" textlink="">
          <xdr:nvSpPr>
            <xdr:cNvPr id="9279" name="Button 63" hidden="1">
              <a:extLst>
                <a:ext uri="{63B3BB69-23CF-44E3-9099-C40C66FF867C}">
                  <a14:compatExt spid="_x0000_s9279"/>
                </a:ext>
                <a:ext uri="{FF2B5EF4-FFF2-40B4-BE49-F238E27FC236}">
                  <a16:creationId xmlns:a16="http://schemas.microsoft.com/office/drawing/2014/main" id="{00000000-0008-0000-0100-00003F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Print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983059</xdr:row>
          <xdr:rowOff>0</xdr:rowOff>
        </xdr:from>
        <xdr:to>
          <xdr:col>10</xdr:col>
          <xdr:colOff>22860</xdr:colOff>
          <xdr:row>983060</xdr:row>
          <xdr:rowOff>45720</xdr:rowOff>
        </xdr:to>
        <xdr:sp macro="" textlink="">
          <xdr:nvSpPr>
            <xdr:cNvPr id="9280" name="Drop Down 64" hidden="1">
              <a:extLst>
                <a:ext uri="{63B3BB69-23CF-44E3-9099-C40C66FF867C}">
                  <a14:compatExt spid="_x0000_s9280"/>
                </a:ext>
                <a:ext uri="{FF2B5EF4-FFF2-40B4-BE49-F238E27FC236}">
                  <a16:creationId xmlns:a16="http://schemas.microsoft.com/office/drawing/2014/main" id="{00000000-0008-0000-0100-00004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571500</xdr:colOff>
          <xdr:row>19</xdr:row>
          <xdr:rowOff>144780</xdr:rowOff>
        </xdr:from>
        <xdr:to>
          <xdr:col>10</xdr:col>
          <xdr:colOff>22860</xdr:colOff>
          <xdr:row>20</xdr:row>
          <xdr:rowOff>198120</xdr:rowOff>
        </xdr:to>
        <xdr:sp macro="" textlink="">
          <xdr:nvSpPr>
            <xdr:cNvPr id="9281" name="Drop Down 65" hidden="1">
              <a:extLst>
                <a:ext uri="{63B3BB69-23CF-44E3-9099-C40C66FF867C}">
                  <a14:compatExt spid="_x0000_s9281"/>
                </a:ext>
                <a:ext uri="{FF2B5EF4-FFF2-40B4-BE49-F238E27FC236}">
                  <a16:creationId xmlns:a16="http://schemas.microsoft.com/office/drawing/2014/main" id="{00000000-0008-0000-0100-00004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411480</xdr:colOff>
          <xdr:row>49</xdr:row>
          <xdr:rowOff>182880</xdr:rowOff>
        </xdr:from>
        <xdr:to>
          <xdr:col>15</xdr:col>
          <xdr:colOff>487680</xdr:colOff>
          <xdr:row>50</xdr:row>
          <xdr:rowOff>175260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411480</xdr:colOff>
          <xdr:row>48</xdr:row>
          <xdr:rowOff>38100</xdr:rowOff>
        </xdr:from>
        <xdr:to>
          <xdr:col>15</xdr:col>
          <xdr:colOff>495300</xdr:colOff>
          <xdr:row>49</xdr:row>
          <xdr:rowOff>30480</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Print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0</xdr:rowOff>
        </xdr:from>
        <xdr:to>
          <xdr:col>3</xdr:col>
          <xdr:colOff>1150620</xdr:colOff>
          <xdr:row>21</xdr:row>
          <xdr:rowOff>198120</xdr:rowOff>
        </xdr:to>
        <xdr:sp macro="" textlink="">
          <xdr:nvSpPr>
            <xdr:cNvPr id="3088" name="Drop Down 16" hidden="1">
              <a:extLst>
                <a:ext uri="{63B3BB69-23CF-44E3-9099-C40C66FF867C}">
                  <a14:compatExt spid="_x0000_s3088"/>
                </a:ext>
                <a:ext uri="{FF2B5EF4-FFF2-40B4-BE49-F238E27FC236}">
                  <a16:creationId xmlns:a16="http://schemas.microsoft.com/office/drawing/2014/main" id="{00000000-0008-0000-0200-00001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41</xdr:row>
          <xdr:rowOff>0</xdr:rowOff>
        </xdr:from>
        <xdr:to>
          <xdr:col>1</xdr:col>
          <xdr:colOff>1074420</xdr:colOff>
          <xdr:row>41</xdr:row>
          <xdr:rowOff>198120</xdr:rowOff>
        </xdr:to>
        <xdr:sp macro="" textlink="">
          <xdr:nvSpPr>
            <xdr:cNvPr id="3091" name="Drop Down 19" hidden="1">
              <a:extLst>
                <a:ext uri="{63B3BB69-23CF-44E3-9099-C40C66FF867C}">
                  <a14:compatExt spid="_x0000_s3091"/>
                </a:ext>
                <a:ext uri="{FF2B5EF4-FFF2-40B4-BE49-F238E27FC236}">
                  <a16:creationId xmlns:a16="http://schemas.microsoft.com/office/drawing/2014/main" id="{00000000-0008-0000-0200-00001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42</xdr:row>
          <xdr:rowOff>0</xdr:rowOff>
        </xdr:from>
        <xdr:to>
          <xdr:col>1</xdr:col>
          <xdr:colOff>1074420</xdr:colOff>
          <xdr:row>42</xdr:row>
          <xdr:rowOff>198120</xdr:rowOff>
        </xdr:to>
        <xdr:sp macro="" textlink="">
          <xdr:nvSpPr>
            <xdr:cNvPr id="3101" name="Drop Down 29" hidden="1">
              <a:extLst>
                <a:ext uri="{63B3BB69-23CF-44E3-9099-C40C66FF867C}">
                  <a14:compatExt spid="_x0000_s3101"/>
                </a:ext>
                <a:ext uri="{FF2B5EF4-FFF2-40B4-BE49-F238E27FC236}">
                  <a16:creationId xmlns:a16="http://schemas.microsoft.com/office/drawing/2014/main" id="{00000000-0008-0000-0200-00001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43</xdr:row>
          <xdr:rowOff>0</xdr:rowOff>
        </xdr:from>
        <xdr:to>
          <xdr:col>1</xdr:col>
          <xdr:colOff>1074420</xdr:colOff>
          <xdr:row>43</xdr:row>
          <xdr:rowOff>198120</xdr:rowOff>
        </xdr:to>
        <xdr:sp macro="" textlink="">
          <xdr:nvSpPr>
            <xdr:cNvPr id="3102" name="Drop Down 30" hidden="1">
              <a:extLst>
                <a:ext uri="{63B3BB69-23CF-44E3-9099-C40C66FF867C}">
                  <a14:compatExt spid="_x0000_s3102"/>
                </a:ext>
                <a:ext uri="{FF2B5EF4-FFF2-40B4-BE49-F238E27FC236}">
                  <a16:creationId xmlns:a16="http://schemas.microsoft.com/office/drawing/2014/main" id="{00000000-0008-0000-0200-00001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44</xdr:row>
          <xdr:rowOff>0</xdr:rowOff>
        </xdr:from>
        <xdr:to>
          <xdr:col>1</xdr:col>
          <xdr:colOff>1074420</xdr:colOff>
          <xdr:row>44</xdr:row>
          <xdr:rowOff>198120</xdr:rowOff>
        </xdr:to>
        <xdr:sp macro="" textlink="">
          <xdr:nvSpPr>
            <xdr:cNvPr id="3103" name="Drop Down 31" hidden="1">
              <a:extLst>
                <a:ext uri="{63B3BB69-23CF-44E3-9099-C40C66FF867C}">
                  <a14:compatExt spid="_x0000_s3103"/>
                </a:ext>
                <a:ext uri="{FF2B5EF4-FFF2-40B4-BE49-F238E27FC236}">
                  <a16:creationId xmlns:a16="http://schemas.microsoft.com/office/drawing/2014/main" id="{00000000-0008-0000-0200-00001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45</xdr:row>
          <xdr:rowOff>0</xdr:rowOff>
        </xdr:from>
        <xdr:to>
          <xdr:col>1</xdr:col>
          <xdr:colOff>1074420</xdr:colOff>
          <xdr:row>45</xdr:row>
          <xdr:rowOff>198120</xdr:rowOff>
        </xdr:to>
        <xdr:sp macro="" textlink="">
          <xdr:nvSpPr>
            <xdr:cNvPr id="3104" name="Drop Down 32" hidden="1">
              <a:extLst>
                <a:ext uri="{63B3BB69-23CF-44E3-9099-C40C66FF867C}">
                  <a14:compatExt spid="_x0000_s3104"/>
                </a:ext>
                <a:ext uri="{FF2B5EF4-FFF2-40B4-BE49-F238E27FC236}">
                  <a16:creationId xmlns:a16="http://schemas.microsoft.com/office/drawing/2014/main" id="{00000000-0008-0000-0200-00002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46</xdr:row>
          <xdr:rowOff>0</xdr:rowOff>
        </xdr:from>
        <xdr:to>
          <xdr:col>1</xdr:col>
          <xdr:colOff>1074420</xdr:colOff>
          <xdr:row>46</xdr:row>
          <xdr:rowOff>198120</xdr:rowOff>
        </xdr:to>
        <xdr:sp macro="" textlink="">
          <xdr:nvSpPr>
            <xdr:cNvPr id="3105" name="Drop Down 33" hidden="1">
              <a:extLst>
                <a:ext uri="{63B3BB69-23CF-44E3-9099-C40C66FF867C}">
                  <a14:compatExt spid="_x0000_s3105"/>
                </a:ext>
                <a:ext uri="{FF2B5EF4-FFF2-40B4-BE49-F238E27FC236}">
                  <a16:creationId xmlns:a16="http://schemas.microsoft.com/office/drawing/2014/main" id="{00000000-0008-0000-0200-00002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47</xdr:row>
          <xdr:rowOff>0</xdr:rowOff>
        </xdr:from>
        <xdr:to>
          <xdr:col>1</xdr:col>
          <xdr:colOff>1074420</xdr:colOff>
          <xdr:row>47</xdr:row>
          <xdr:rowOff>198120</xdr:rowOff>
        </xdr:to>
        <xdr:sp macro="" textlink="">
          <xdr:nvSpPr>
            <xdr:cNvPr id="3106" name="Drop Down 34" hidden="1">
              <a:extLst>
                <a:ext uri="{63B3BB69-23CF-44E3-9099-C40C66FF867C}">
                  <a14:compatExt spid="_x0000_s3106"/>
                </a:ext>
                <a:ext uri="{FF2B5EF4-FFF2-40B4-BE49-F238E27FC236}">
                  <a16:creationId xmlns:a16="http://schemas.microsoft.com/office/drawing/2014/main" id="{00000000-0008-0000-0200-00002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48</xdr:row>
          <xdr:rowOff>0</xdr:rowOff>
        </xdr:from>
        <xdr:to>
          <xdr:col>1</xdr:col>
          <xdr:colOff>1074420</xdr:colOff>
          <xdr:row>48</xdr:row>
          <xdr:rowOff>198120</xdr:rowOff>
        </xdr:to>
        <xdr:sp macro="" textlink="">
          <xdr:nvSpPr>
            <xdr:cNvPr id="3107" name="Drop Down 35" hidden="1">
              <a:extLst>
                <a:ext uri="{63B3BB69-23CF-44E3-9099-C40C66FF867C}">
                  <a14:compatExt spid="_x0000_s3107"/>
                </a:ext>
                <a:ext uri="{FF2B5EF4-FFF2-40B4-BE49-F238E27FC236}">
                  <a16:creationId xmlns:a16="http://schemas.microsoft.com/office/drawing/2014/main" id="{00000000-0008-0000-0200-00002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49</xdr:row>
          <xdr:rowOff>0</xdr:rowOff>
        </xdr:from>
        <xdr:to>
          <xdr:col>1</xdr:col>
          <xdr:colOff>1074420</xdr:colOff>
          <xdr:row>49</xdr:row>
          <xdr:rowOff>198120</xdr:rowOff>
        </xdr:to>
        <xdr:sp macro="" textlink="">
          <xdr:nvSpPr>
            <xdr:cNvPr id="3108" name="Drop Down 36" hidden="1">
              <a:extLst>
                <a:ext uri="{63B3BB69-23CF-44E3-9099-C40C66FF867C}">
                  <a14:compatExt spid="_x0000_s3108"/>
                </a:ext>
                <a:ext uri="{FF2B5EF4-FFF2-40B4-BE49-F238E27FC236}">
                  <a16:creationId xmlns:a16="http://schemas.microsoft.com/office/drawing/2014/main" id="{00000000-0008-0000-0200-00002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50</xdr:row>
          <xdr:rowOff>0</xdr:rowOff>
        </xdr:from>
        <xdr:to>
          <xdr:col>1</xdr:col>
          <xdr:colOff>1074420</xdr:colOff>
          <xdr:row>50</xdr:row>
          <xdr:rowOff>198120</xdr:rowOff>
        </xdr:to>
        <xdr:sp macro="" textlink="">
          <xdr:nvSpPr>
            <xdr:cNvPr id="3109" name="Drop Down 37" hidden="1">
              <a:extLst>
                <a:ext uri="{63B3BB69-23CF-44E3-9099-C40C66FF867C}">
                  <a14:compatExt spid="_x0000_s3109"/>
                </a:ext>
                <a:ext uri="{FF2B5EF4-FFF2-40B4-BE49-F238E27FC236}">
                  <a16:creationId xmlns:a16="http://schemas.microsoft.com/office/drawing/2014/main" id="{00000000-0008-0000-0200-00002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579120</xdr:colOff>
          <xdr:row>6</xdr:row>
          <xdr:rowOff>144780</xdr:rowOff>
        </xdr:from>
        <xdr:to>
          <xdr:col>6</xdr:col>
          <xdr:colOff>312420</xdr:colOff>
          <xdr:row>8</xdr:row>
          <xdr:rowOff>7620</xdr:rowOff>
        </xdr:to>
        <xdr:sp macro="" textlink="">
          <xdr:nvSpPr>
            <xdr:cNvPr id="3113" name="Button 41" hidden="1">
              <a:extLst>
                <a:ext uri="{63B3BB69-23CF-44E3-9099-C40C66FF867C}">
                  <a14:compatExt spid="_x0000_s3113"/>
                </a:ext>
                <a:ext uri="{FF2B5EF4-FFF2-40B4-BE49-F238E27FC236}">
                  <a16:creationId xmlns:a16="http://schemas.microsoft.com/office/drawing/2014/main" id="{00000000-0008-0000-0200-000029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579120</xdr:colOff>
          <xdr:row>4</xdr:row>
          <xdr:rowOff>114300</xdr:rowOff>
        </xdr:from>
        <xdr:to>
          <xdr:col>6</xdr:col>
          <xdr:colOff>327660</xdr:colOff>
          <xdr:row>5</xdr:row>
          <xdr:rowOff>152400</xdr:rowOff>
        </xdr:to>
        <xdr:sp macro="" textlink="">
          <xdr:nvSpPr>
            <xdr:cNvPr id="3114" name="Button 42" hidden="1">
              <a:extLst>
                <a:ext uri="{63B3BB69-23CF-44E3-9099-C40C66FF867C}">
                  <a14:compatExt spid="_x0000_s3114"/>
                </a:ext>
                <a:ext uri="{FF2B5EF4-FFF2-40B4-BE49-F238E27FC236}">
                  <a16:creationId xmlns:a16="http://schemas.microsoft.com/office/drawing/2014/main" id="{00000000-0008-0000-0200-00002A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Print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21</xdr:row>
          <xdr:rowOff>7620</xdr:rowOff>
        </xdr:from>
        <xdr:to>
          <xdr:col>10</xdr:col>
          <xdr:colOff>0</xdr:colOff>
          <xdr:row>21</xdr:row>
          <xdr:rowOff>213360</xdr:rowOff>
        </xdr:to>
        <xdr:sp macro="" textlink="">
          <xdr:nvSpPr>
            <xdr:cNvPr id="3115" name="Drop Down 43" hidden="1">
              <a:extLst>
                <a:ext uri="{63B3BB69-23CF-44E3-9099-C40C66FF867C}">
                  <a14:compatExt spid="_x0000_s3115"/>
                </a:ext>
                <a:ext uri="{FF2B5EF4-FFF2-40B4-BE49-F238E27FC236}">
                  <a16:creationId xmlns:a16="http://schemas.microsoft.com/office/drawing/2014/main" id="{00000000-0008-0000-0200-00002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289560</xdr:colOff>
          <xdr:row>19</xdr:row>
          <xdr:rowOff>312420</xdr:rowOff>
        </xdr:from>
        <xdr:to>
          <xdr:col>9</xdr:col>
          <xdr:colOff>708660</xdr:colOff>
          <xdr:row>21</xdr:row>
          <xdr:rowOff>22860</xdr:rowOff>
        </xdr:to>
        <xdr:sp macro="" textlink="">
          <xdr:nvSpPr>
            <xdr:cNvPr id="3116" name="Drop Down 44" hidden="1">
              <a:extLst>
                <a:ext uri="{63B3BB69-23CF-44E3-9099-C40C66FF867C}">
                  <a14:compatExt spid="_x0000_s3116"/>
                </a:ext>
                <a:ext uri="{FF2B5EF4-FFF2-40B4-BE49-F238E27FC236}">
                  <a16:creationId xmlns:a16="http://schemas.microsoft.com/office/drawing/2014/main" id="{00000000-0008-0000-0200-00002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0</xdr:rowOff>
        </xdr:from>
        <xdr:to>
          <xdr:col>4</xdr:col>
          <xdr:colOff>0</xdr:colOff>
          <xdr:row>22</xdr:row>
          <xdr:rowOff>0</xdr:rowOff>
        </xdr:to>
        <xdr:sp macro="" textlink="">
          <xdr:nvSpPr>
            <xdr:cNvPr id="3117" name="Drop Down 45" hidden="1">
              <a:extLst>
                <a:ext uri="{63B3BB69-23CF-44E3-9099-C40C66FF867C}">
                  <a14:compatExt spid="_x0000_s3117"/>
                </a:ext>
                <a:ext uri="{FF2B5EF4-FFF2-40B4-BE49-F238E27FC236}">
                  <a16:creationId xmlns:a16="http://schemas.microsoft.com/office/drawing/2014/main" id="{00000000-0008-0000-0200-00002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6" Type="http://schemas.openxmlformats.org/officeDocument/2006/relationships/ctrlProp" Target="../ctrlProps/ctrlProp28.xml"/><Relationship Id="rId21" Type="http://schemas.openxmlformats.org/officeDocument/2006/relationships/ctrlProp" Target="../ctrlProps/ctrlProp23.xml"/><Relationship Id="rId34" Type="http://schemas.openxmlformats.org/officeDocument/2006/relationships/ctrlProp" Target="../ctrlProps/ctrlProp36.xml"/><Relationship Id="rId42" Type="http://schemas.openxmlformats.org/officeDocument/2006/relationships/ctrlProp" Target="../ctrlProps/ctrlProp44.xml"/><Relationship Id="rId47" Type="http://schemas.openxmlformats.org/officeDocument/2006/relationships/ctrlProp" Target="../ctrlProps/ctrlProp49.xml"/><Relationship Id="rId50" Type="http://schemas.openxmlformats.org/officeDocument/2006/relationships/ctrlProp" Target="../ctrlProps/ctrlProp52.xml"/><Relationship Id="rId55" Type="http://schemas.openxmlformats.org/officeDocument/2006/relationships/ctrlProp" Target="../ctrlProps/ctrlProp57.xml"/><Relationship Id="rId63" Type="http://schemas.openxmlformats.org/officeDocument/2006/relationships/ctrlProp" Target="../ctrlProps/ctrlProp65.xml"/><Relationship Id="rId68" Type="http://schemas.openxmlformats.org/officeDocument/2006/relationships/ctrlProp" Target="../ctrlProps/ctrlProp70.xml"/><Relationship Id="rId7" Type="http://schemas.openxmlformats.org/officeDocument/2006/relationships/ctrlProp" Target="../ctrlProps/ctrlProp9.xml"/><Relationship Id="rId2" Type="http://schemas.openxmlformats.org/officeDocument/2006/relationships/drawing" Target="../drawings/drawing2.xml"/><Relationship Id="rId16" Type="http://schemas.openxmlformats.org/officeDocument/2006/relationships/ctrlProp" Target="../ctrlProps/ctrlProp18.xml"/><Relationship Id="rId29" Type="http://schemas.openxmlformats.org/officeDocument/2006/relationships/ctrlProp" Target="../ctrlProps/ctrlProp31.xml"/><Relationship Id="rId11" Type="http://schemas.openxmlformats.org/officeDocument/2006/relationships/ctrlProp" Target="../ctrlProps/ctrlProp13.xml"/><Relationship Id="rId24" Type="http://schemas.openxmlformats.org/officeDocument/2006/relationships/ctrlProp" Target="../ctrlProps/ctrlProp26.xml"/><Relationship Id="rId32" Type="http://schemas.openxmlformats.org/officeDocument/2006/relationships/ctrlProp" Target="../ctrlProps/ctrlProp34.xml"/><Relationship Id="rId37" Type="http://schemas.openxmlformats.org/officeDocument/2006/relationships/ctrlProp" Target="../ctrlProps/ctrlProp39.xml"/><Relationship Id="rId40" Type="http://schemas.openxmlformats.org/officeDocument/2006/relationships/ctrlProp" Target="../ctrlProps/ctrlProp42.xml"/><Relationship Id="rId45" Type="http://schemas.openxmlformats.org/officeDocument/2006/relationships/ctrlProp" Target="../ctrlProps/ctrlProp47.xml"/><Relationship Id="rId53" Type="http://schemas.openxmlformats.org/officeDocument/2006/relationships/ctrlProp" Target="../ctrlProps/ctrlProp55.xml"/><Relationship Id="rId58" Type="http://schemas.openxmlformats.org/officeDocument/2006/relationships/ctrlProp" Target="../ctrlProps/ctrlProp60.xml"/><Relationship Id="rId66" Type="http://schemas.openxmlformats.org/officeDocument/2006/relationships/ctrlProp" Target="../ctrlProps/ctrlProp68.xml"/><Relationship Id="rId5" Type="http://schemas.openxmlformats.org/officeDocument/2006/relationships/ctrlProp" Target="../ctrlProps/ctrlProp7.xml"/><Relationship Id="rId61" Type="http://schemas.openxmlformats.org/officeDocument/2006/relationships/ctrlProp" Target="../ctrlProps/ctrlProp63.xml"/><Relationship Id="rId19" Type="http://schemas.openxmlformats.org/officeDocument/2006/relationships/ctrlProp" Target="../ctrlProps/ctrlProp21.xml"/><Relationship Id="rId14" Type="http://schemas.openxmlformats.org/officeDocument/2006/relationships/ctrlProp" Target="../ctrlProps/ctrlProp16.xml"/><Relationship Id="rId22" Type="http://schemas.openxmlformats.org/officeDocument/2006/relationships/ctrlProp" Target="../ctrlProps/ctrlProp24.xml"/><Relationship Id="rId27" Type="http://schemas.openxmlformats.org/officeDocument/2006/relationships/ctrlProp" Target="../ctrlProps/ctrlProp29.xml"/><Relationship Id="rId30" Type="http://schemas.openxmlformats.org/officeDocument/2006/relationships/ctrlProp" Target="../ctrlProps/ctrlProp32.xml"/><Relationship Id="rId35" Type="http://schemas.openxmlformats.org/officeDocument/2006/relationships/ctrlProp" Target="../ctrlProps/ctrlProp37.xml"/><Relationship Id="rId43" Type="http://schemas.openxmlformats.org/officeDocument/2006/relationships/ctrlProp" Target="../ctrlProps/ctrlProp45.xml"/><Relationship Id="rId48" Type="http://schemas.openxmlformats.org/officeDocument/2006/relationships/ctrlProp" Target="../ctrlProps/ctrlProp50.xml"/><Relationship Id="rId56" Type="http://schemas.openxmlformats.org/officeDocument/2006/relationships/ctrlProp" Target="../ctrlProps/ctrlProp58.xml"/><Relationship Id="rId64" Type="http://schemas.openxmlformats.org/officeDocument/2006/relationships/ctrlProp" Target="../ctrlProps/ctrlProp66.xml"/><Relationship Id="rId8" Type="http://schemas.openxmlformats.org/officeDocument/2006/relationships/ctrlProp" Target="../ctrlProps/ctrlProp10.xml"/><Relationship Id="rId51" Type="http://schemas.openxmlformats.org/officeDocument/2006/relationships/ctrlProp" Target="../ctrlProps/ctrlProp53.xml"/><Relationship Id="rId3" Type="http://schemas.openxmlformats.org/officeDocument/2006/relationships/vmlDrawing" Target="../drawings/vmlDrawing2.vml"/><Relationship Id="rId12" Type="http://schemas.openxmlformats.org/officeDocument/2006/relationships/ctrlProp" Target="../ctrlProps/ctrlProp14.xml"/><Relationship Id="rId17" Type="http://schemas.openxmlformats.org/officeDocument/2006/relationships/ctrlProp" Target="../ctrlProps/ctrlProp19.xml"/><Relationship Id="rId25" Type="http://schemas.openxmlformats.org/officeDocument/2006/relationships/ctrlProp" Target="../ctrlProps/ctrlProp27.xml"/><Relationship Id="rId33" Type="http://schemas.openxmlformats.org/officeDocument/2006/relationships/ctrlProp" Target="../ctrlProps/ctrlProp35.xml"/><Relationship Id="rId38" Type="http://schemas.openxmlformats.org/officeDocument/2006/relationships/ctrlProp" Target="../ctrlProps/ctrlProp40.xml"/><Relationship Id="rId46" Type="http://schemas.openxmlformats.org/officeDocument/2006/relationships/ctrlProp" Target="../ctrlProps/ctrlProp48.xml"/><Relationship Id="rId59" Type="http://schemas.openxmlformats.org/officeDocument/2006/relationships/ctrlProp" Target="../ctrlProps/ctrlProp61.xml"/><Relationship Id="rId67" Type="http://schemas.openxmlformats.org/officeDocument/2006/relationships/ctrlProp" Target="../ctrlProps/ctrlProp69.xml"/><Relationship Id="rId20" Type="http://schemas.openxmlformats.org/officeDocument/2006/relationships/ctrlProp" Target="../ctrlProps/ctrlProp22.xml"/><Relationship Id="rId41" Type="http://schemas.openxmlformats.org/officeDocument/2006/relationships/ctrlProp" Target="../ctrlProps/ctrlProp43.xml"/><Relationship Id="rId54" Type="http://schemas.openxmlformats.org/officeDocument/2006/relationships/ctrlProp" Target="../ctrlProps/ctrlProp56.xml"/><Relationship Id="rId62" Type="http://schemas.openxmlformats.org/officeDocument/2006/relationships/ctrlProp" Target="../ctrlProps/ctrlProp64.xml"/><Relationship Id="rId1" Type="http://schemas.openxmlformats.org/officeDocument/2006/relationships/printerSettings" Target="../printerSettings/printerSettings2.bin"/><Relationship Id="rId6" Type="http://schemas.openxmlformats.org/officeDocument/2006/relationships/ctrlProp" Target="../ctrlProps/ctrlProp8.xml"/><Relationship Id="rId15" Type="http://schemas.openxmlformats.org/officeDocument/2006/relationships/ctrlProp" Target="../ctrlProps/ctrlProp17.xml"/><Relationship Id="rId23" Type="http://schemas.openxmlformats.org/officeDocument/2006/relationships/ctrlProp" Target="../ctrlProps/ctrlProp25.xml"/><Relationship Id="rId28" Type="http://schemas.openxmlformats.org/officeDocument/2006/relationships/ctrlProp" Target="../ctrlProps/ctrlProp30.xml"/><Relationship Id="rId36" Type="http://schemas.openxmlformats.org/officeDocument/2006/relationships/ctrlProp" Target="../ctrlProps/ctrlProp38.xml"/><Relationship Id="rId49" Type="http://schemas.openxmlformats.org/officeDocument/2006/relationships/ctrlProp" Target="../ctrlProps/ctrlProp51.xml"/><Relationship Id="rId57" Type="http://schemas.openxmlformats.org/officeDocument/2006/relationships/ctrlProp" Target="../ctrlProps/ctrlProp59.xml"/><Relationship Id="rId10" Type="http://schemas.openxmlformats.org/officeDocument/2006/relationships/ctrlProp" Target="../ctrlProps/ctrlProp12.xml"/><Relationship Id="rId31" Type="http://schemas.openxmlformats.org/officeDocument/2006/relationships/ctrlProp" Target="../ctrlProps/ctrlProp33.xml"/><Relationship Id="rId44" Type="http://schemas.openxmlformats.org/officeDocument/2006/relationships/ctrlProp" Target="../ctrlProps/ctrlProp46.xml"/><Relationship Id="rId52" Type="http://schemas.openxmlformats.org/officeDocument/2006/relationships/ctrlProp" Target="../ctrlProps/ctrlProp54.xml"/><Relationship Id="rId60" Type="http://schemas.openxmlformats.org/officeDocument/2006/relationships/ctrlProp" Target="../ctrlProps/ctrlProp62.xml"/><Relationship Id="rId65" Type="http://schemas.openxmlformats.org/officeDocument/2006/relationships/ctrlProp" Target="../ctrlProps/ctrlProp67.xml"/><Relationship Id="rId4" Type="http://schemas.openxmlformats.org/officeDocument/2006/relationships/ctrlProp" Target="../ctrlProps/ctrlProp6.xml"/><Relationship Id="rId9" Type="http://schemas.openxmlformats.org/officeDocument/2006/relationships/ctrlProp" Target="../ctrlProps/ctrlProp11.xml"/><Relationship Id="rId13" Type="http://schemas.openxmlformats.org/officeDocument/2006/relationships/ctrlProp" Target="../ctrlProps/ctrlProp15.xml"/><Relationship Id="rId18" Type="http://schemas.openxmlformats.org/officeDocument/2006/relationships/ctrlProp" Target="../ctrlProps/ctrlProp20.xml"/><Relationship Id="rId39" Type="http://schemas.openxmlformats.org/officeDocument/2006/relationships/ctrlProp" Target="../ctrlProps/ctrlProp4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5.xml"/><Relationship Id="rId13" Type="http://schemas.openxmlformats.org/officeDocument/2006/relationships/ctrlProp" Target="../ctrlProps/ctrlProp80.xml"/><Relationship Id="rId18" Type="http://schemas.openxmlformats.org/officeDocument/2006/relationships/ctrlProp" Target="../ctrlProps/ctrlProp85.xml"/><Relationship Id="rId3" Type="http://schemas.openxmlformats.org/officeDocument/2006/relationships/vmlDrawing" Target="../drawings/vmlDrawing3.vml"/><Relationship Id="rId21" Type="http://schemas.openxmlformats.org/officeDocument/2006/relationships/ctrlProp" Target="../ctrlProps/ctrlProp88.xml"/><Relationship Id="rId7" Type="http://schemas.openxmlformats.org/officeDocument/2006/relationships/ctrlProp" Target="../ctrlProps/ctrlProp74.xml"/><Relationship Id="rId12" Type="http://schemas.openxmlformats.org/officeDocument/2006/relationships/ctrlProp" Target="../ctrlProps/ctrlProp79.xml"/><Relationship Id="rId17" Type="http://schemas.openxmlformats.org/officeDocument/2006/relationships/ctrlProp" Target="../ctrlProps/ctrlProp84.xml"/><Relationship Id="rId2" Type="http://schemas.openxmlformats.org/officeDocument/2006/relationships/drawing" Target="../drawings/drawing3.xml"/><Relationship Id="rId16" Type="http://schemas.openxmlformats.org/officeDocument/2006/relationships/ctrlProp" Target="../ctrlProps/ctrlProp83.xml"/><Relationship Id="rId20" Type="http://schemas.openxmlformats.org/officeDocument/2006/relationships/ctrlProp" Target="../ctrlProps/ctrlProp87.xml"/><Relationship Id="rId1" Type="http://schemas.openxmlformats.org/officeDocument/2006/relationships/printerSettings" Target="../printerSettings/printerSettings3.bin"/><Relationship Id="rId6" Type="http://schemas.openxmlformats.org/officeDocument/2006/relationships/ctrlProp" Target="../ctrlProps/ctrlProp73.xml"/><Relationship Id="rId11" Type="http://schemas.openxmlformats.org/officeDocument/2006/relationships/ctrlProp" Target="../ctrlProps/ctrlProp78.xml"/><Relationship Id="rId5" Type="http://schemas.openxmlformats.org/officeDocument/2006/relationships/ctrlProp" Target="../ctrlProps/ctrlProp72.xml"/><Relationship Id="rId15" Type="http://schemas.openxmlformats.org/officeDocument/2006/relationships/ctrlProp" Target="../ctrlProps/ctrlProp82.xml"/><Relationship Id="rId10" Type="http://schemas.openxmlformats.org/officeDocument/2006/relationships/ctrlProp" Target="../ctrlProps/ctrlProp77.xml"/><Relationship Id="rId19" Type="http://schemas.openxmlformats.org/officeDocument/2006/relationships/ctrlProp" Target="../ctrlProps/ctrlProp86.xml"/><Relationship Id="rId4" Type="http://schemas.openxmlformats.org/officeDocument/2006/relationships/ctrlProp" Target="../ctrlProps/ctrlProp71.xml"/><Relationship Id="rId9" Type="http://schemas.openxmlformats.org/officeDocument/2006/relationships/ctrlProp" Target="../ctrlProps/ctrlProp76.xml"/><Relationship Id="rId14" Type="http://schemas.openxmlformats.org/officeDocument/2006/relationships/ctrlProp" Target="../ctrlProps/ctrlProp8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X84"/>
  <sheetViews>
    <sheetView tabSelected="1" zoomScale="70" zoomScaleNormal="70" workbookViewId="0">
      <selection activeCell="D5" sqref="D5:E5"/>
    </sheetView>
  </sheetViews>
  <sheetFormatPr defaultRowHeight="13.2" x14ac:dyDescent="0.25"/>
  <cols>
    <col min="4" max="4" width="19.44140625" customWidth="1"/>
    <col min="5" max="5" width="14.33203125" customWidth="1"/>
    <col min="6" max="6" width="12.109375" customWidth="1"/>
    <col min="7" max="7" width="13.6640625" customWidth="1"/>
    <col min="10" max="10" width="9" customWidth="1"/>
    <col min="11" max="11" width="19.5546875" customWidth="1"/>
    <col min="12" max="12" width="11.5546875" customWidth="1"/>
    <col min="13" max="13" width="11.6640625" customWidth="1"/>
    <col min="14" max="14" width="12.5546875" customWidth="1"/>
    <col min="16" max="16" width="26.88671875" customWidth="1"/>
    <col min="61" max="61" width="7" bestFit="1" customWidth="1"/>
    <col min="74" max="74" width="12.88671875" customWidth="1"/>
  </cols>
  <sheetData>
    <row r="1" spans="1:74" s="222" customFormat="1" ht="12.75" customHeight="1" x14ac:dyDescent="0.25">
      <c r="A1" s="244"/>
      <c r="B1" s="472" t="s">
        <v>261</v>
      </c>
      <c r="C1" s="473"/>
      <c r="D1" s="473"/>
      <c r="E1" s="473"/>
      <c r="F1" s="473"/>
      <c r="G1" s="473"/>
      <c r="H1" s="473"/>
      <c r="I1" s="473"/>
      <c r="J1" s="473"/>
      <c r="K1" s="473"/>
      <c r="L1" s="473"/>
      <c r="M1" s="473"/>
      <c r="N1" s="473"/>
      <c r="O1" s="473"/>
      <c r="P1" s="474"/>
      <c r="Q1" s="215"/>
      <c r="R1" s="221"/>
      <c r="S1" s="221"/>
      <c r="T1" s="221"/>
      <c r="U1" s="221"/>
    </row>
    <row r="2" spans="1:74" s="222" customFormat="1" ht="12.75" customHeight="1" x14ac:dyDescent="0.25">
      <c r="A2" s="244"/>
      <c r="B2" s="475"/>
      <c r="C2" s="476"/>
      <c r="D2" s="476"/>
      <c r="E2" s="476"/>
      <c r="F2" s="476"/>
      <c r="G2" s="476"/>
      <c r="H2" s="476"/>
      <c r="I2" s="476"/>
      <c r="J2" s="476"/>
      <c r="K2" s="476"/>
      <c r="L2" s="476"/>
      <c r="M2" s="476"/>
      <c r="N2" s="476"/>
      <c r="O2" s="476"/>
      <c r="P2" s="477"/>
      <c r="Q2" s="215"/>
      <c r="R2" s="221"/>
      <c r="S2" s="221"/>
      <c r="T2" s="221"/>
      <c r="U2" s="221"/>
    </row>
    <row r="3" spans="1:74" s="222" customFormat="1" x14ac:dyDescent="0.25">
      <c r="A3" s="214"/>
      <c r="B3" s="490"/>
      <c r="C3" s="490"/>
      <c r="D3" s="490"/>
      <c r="E3" s="490"/>
      <c r="F3" s="490"/>
      <c r="G3" s="490"/>
      <c r="H3" s="490"/>
      <c r="I3" s="490"/>
      <c r="J3" s="490"/>
      <c r="K3" s="490"/>
      <c r="L3" s="490"/>
      <c r="M3" s="490"/>
      <c r="N3" s="490"/>
      <c r="O3" s="490"/>
      <c r="P3" s="214"/>
      <c r="Q3" s="214"/>
      <c r="R3" s="221"/>
      <c r="S3" s="221"/>
      <c r="T3" s="221"/>
      <c r="U3" s="221"/>
    </row>
    <row r="4" spans="1:74" s="222" customFormat="1" ht="17.399999999999999" x14ac:dyDescent="0.25">
      <c r="A4" s="214"/>
      <c r="B4" s="129" t="s">
        <v>73</v>
      </c>
      <c r="C4" s="130"/>
      <c r="D4" s="130"/>
      <c r="E4" s="130"/>
      <c r="F4" s="124"/>
      <c r="G4" s="245" t="s">
        <v>124</v>
      </c>
      <c r="H4" s="493"/>
      <c r="I4" s="494"/>
      <c r="J4" s="494"/>
      <c r="K4" s="494"/>
      <c r="L4" s="494"/>
      <c r="M4" s="494"/>
      <c r="N4" s="494"/>
      <c r="O4" s="494"/>
      <c r="P4" s="495"/>
      <c r="Q4" s="246"/>
      <c r="R4" s="247"/>
      <c r="S4" s="247"/>
      <c r="T4" s="247"/>
      <c r="U4" s="247"/>
      <c r="V4" s="239"/>
      <c r="W4" s="239"/>
      <c r="X4" s="239"/>
    </row>
    <row r="5" spans="1:74" s="222" customFormat="1" x14ac:dyDescent="0.25">
      <c r="A5" s="214"/>
      <c r="B5" s="248" t="s">
        <v>13</v>
      </c>
      <c r="C5" s="243"/>
      <c r="D5" s="478"/>
      <c r="E5" s="479"/>
      <c r="F5" s="53"/>
      <c r="G5" s="214" t="s">
        <v>117</v>
      </c>
      <c r="H5" s="496"/>
      <c r="I5" s="497"/>
      <c r="J5" s="497"/>
      <c r="K5" s="497"/>
      <c r="L5" s="497"/>
      <c r="M5" s="497"/>
      <c r="N5" s="497"/>
      <c r="O5" s="497"/>
      <c r="P5" s="498"/>
      <c r="Q5" s="215"/>
      <c r="R5" s="221"/>
      <c r="S5" s="221"/>
      <c r="T5" s="221"/>
      <c r="U5" s="221"/>
    </row>
    <row r="6" spans="1:74" s="222" customFormat="1" x14ac:dyDescent="0.25">
      <c r="A6" s="214"/>
      <c r="B6" s="246" t="s">
        <v>45</v>
      </c>
      <c r="C6" s="212"/>
      <c r="D6" s="478"/>
      <c r="E6" s="479"/>
      <c r="F6" s="19"/>
      <c r="G6" s="214"/>
      <c r="H6" s="496"/>
      <c r="I6" s="497"/>
      <c r="J6" s="497"/>
      <c r="K6" s="497"/>
      <c r="L6" s="497"/>
      <c r="M6" s="497"/>
      <c r="N6" s="497"/>
      <c r="O6" s="497"/>
      <c r="P6" s="498"/>
      <c r="Q6" s="246"/>
      <c r="R6" s="249"/>
      <c r="S6" s="247"/>
      <c r="T6" s="247"/>
      <c r="U6" s="247"/>
      <c r="V6" s="239"/>
      <c r="W6" s="239"/>
      <c r="X6" s="239"/>
    </row>
    <row r="7" spans="1:74" s="222" customFormat="1" x14ac:dyDescent="0.25">
      <c r="A7" s="214"/>
      <c r="B7" s="248" t="s">
        <v>4</v>
      </c>
      <c r="C7" s="243"/>
      <c r="D7" s="491"/>
      <c r="E7" s="492"/>
      <c r="F7" s="19"/>
      <c r="G7" s="214"/>
      <c r="H7" s="496"/>
      <c r="I7" s="497"/>
      <c r="J7" s="497"/>
      <c r="K7" s="497"/>
      <c r="L7" s="497"/>
      <c r="M7" s="497"/>
      <c r="N7" s="497"/>
      <c r="O7" s="497"/>
      <c r="P7" s="498"/>
      <c r="Q7" s="215"/>
      <c r="R7" s="221"/>
      <c r="S7" s="221"/>
      <c r="T7" s="221"/>
      <c r="U7" s="221"/>
    </row>
    <row r="8" spans="1:74" s="222" customFormat="1" x14ac:dyDescent="0.25">
      <c r="A8" s="214"/>
      <c r="B8" s="250" t="s">
        <v>3</v>
      </c>
      <c r="C8" s="251"/>
      <c r="D8" s="478"/>
      <c r="E8" s="479"/>
      <c r="F8" s="252"/>
      <c r="G8" s="253"/>
      <c r="H8" s="499"/>
      <c r="I8" s="500"/>
      <c r="J8" s="500"/>
      <c r="K8" s="500"/>
      <c r="L8" s="500"/>
      <c r="M8" s="500"/>
      <c r="N8" s="500"/>
      <c r="O8" s="500"/>
      <c r="P8" s="501"/>
      <c r="Q8" s="246"/>
      <c r="R8" s="247"/>
      <c r="S8" s="247"/>
      <c r="T8" s="247"/>
      <c r="U8" s="247"/>
      <c r="V8" s="239"/>
      <c r="W8" s="239"/>
      <c r="X8" s="239"/>
    </row>
    <row r="9" spans="1:74" s="222" customFormat="1" ht="6" customHeight="1" x14ac:dyDescent="0.25">
      <c r="A9" s="214"/>
      <c r="B9" s="214"/>
      <c r="C9" s="214"/>
      <c r="D9" s="214"/>
      <c r="E9" s="214"/>
      <c r="F9" s="214"/>
      <c r="G9" s="214"/>
      <c r="H9" s="214"/>
      <c r="I9" s="214"/>
      <c r="J9" s="214"/>
      <c r="K9" s="214"/>
      <c r="L9" s="214"/>
      <c r="M9" s="214"/>
      <c r="N9" s="214"/>
      <c r="O9" s="214"/>
      <c r="P9" s="214"/>
      <c r="Q9" s="214"/>
      <c r="R9" s="221"/>
      <c r="S9" s="221"/>
      <c r="T9" s="221"/>
      <c r="U9" s="221"/>
    </row>
    <row r="10" spans="1:74" s="222" customFormat="1" ht="17.399999999999999" x14ac:dyDescent="0.25">
      <c r="A10" s="214"/>
      <c r="B10" s="123" t="s">
        <v>74</v>
      </c>
      <c r="C10" s="124"/>
      <c r="D10" s="124"/>
      <c r="E10" s="124"/>
      <c r="F10" s="124"/>
      <c r="G10" s="124"/>
      <c r="H10" s="124"/>
      <c r="I10" s="124"/>
      <c r="J10" s="124"/>
      <c r="K10" s="124"/>
      <c r="L10" s="124"/>
      <c r="M10" s="254"/>
      <c r="N10" s="254"/>
      <c r="O10" s="254"/>
      <c r="P10" s="255"/>
      <c r="Q10" s="215"/>
      <c r="R10" s="221"/>
      <c r="S10" s="221"/>
      <c r="T10" s="221"/>
      <c r="U10" s="221"/>
    </row>
    <row r="11" spans="1:74" s="222" customFormat="1" x14ac:dyDescent="0.25">
      <c r="A11" s="214"/>
      <c r="B11" s="126" t="s">
        <v>70</v>
      </c>
      <c r="C11" s="19"/>
      <c r="D11" s="19"/>
      <c r="E11" s="19"/>
      <c r="F11" s="19"/>
      <c r="G11" s="28" t="s">
        <v>71</v>
      </c>
      <c r="H11" s="19"/>
      <c r="I11" s="19"/>
      <c r="J11" s="19"/>
      <c r="K11" s="229"/>
      <c r="L11" s="28" t="s">
        <v>72</v>
      </c>
      <c r="M11" s="19"/>
      <c r="N11" s="214"/>
      <c r="O11" s="214"/>
      <c r="P11" s="228" t="s">
        <v>128</v>
      </c>
      <c r="Q11" s="215"/>
      <c r="R11" s="256"/>
      <c r="S11" s="256"/>
      <c r="T11" s="221"/>
      <c r="U11" s="221"/>
    </row>
    <row r="12" spans="1:74" s="222" customFormat="1" x14ac:dyDescent="0.25">
      <c r="A12" s="214"/>
      <c r="B12" s="257" t="s">
        <v>60</v>
      </c>
      <c r="C12" s="229"/>
      <c r="D12" s="478"/>
      <c r="E12" s="479"/>
      <c r="F12" s="229"/>
      <c r="G12" s="218" t="s">
        <v>190</v>
      </c>
      <c r="H12" s="214"/>
      <c r="I12" s="214"/>
      <c r="J12" s="234"/>
      <c r="K12" s="214" t="s">
        <v>65</v>
      </c>
      <c r="L12" s="258" t="s">
        <v>66</v>
      </c>
      <c r="M12" s="259"/>
      <c r="N12" s="214"/>
      <c r="O12" s="234"/>
      <c r="P12" s="260" t="s">
        <v>44</v>
      </c>
      <c r="Q12" s="215"/>
      <c r="R12" s="221"/>
      <c r="S12" s="221"/>
      <c r="T12" s="221"/>
      <c r="U12" s="221"/>
    </row>
    <row r="13" spans="1:74" s="222" customFormat="1" x14ac:dyDescent="0.25">
      <c r="A13" s="214"/>
      <c r="B13" s="261" t="s">
        <v>56</v>
      </c>
      <c r="C13" s="214"/>
      <c r="D13" s="216"/>
      <c r="E13" s="262"/>
      <c r="F13" s="214"/>
      <c r="G13" s="243" t="s">
        <v>215</v>
      </c>
      <c r="H13" s="214"/>
      <c r="I13" s="214"/>
      <c r="J13" s="234"/>
      <c r="K13" s="214" t="s">
        <v>191</v>
      </c>
      <c r="L13" s="214" t="s">
        <v>67</v>
      </c>
      <c r="M13" s="214"/>
      <c r="N13" s="214"/>
      <c r="O13" s="263" t="str">
        <f>IF(O12="","",O12*60*24)</f>
        <v/>
      </c>
      <c r="P13" s="264" t="s">
        <v>58</v>
      </c>
      <c r="Q13" s="220"/>
      <c r="R13" s="256"/>
      <c r="S13" s="256"/>
      <c r="T13" s="221"/>
      <c r="U13" s="221"/>
    </row>
    <row r="14" spans="1:74" s="222" customFormat="1" x14ac:dyDescent="0.25">
      <c r="A14" s="214"/>
      <c r="B14" s="215" t="s">
        <v>57</v>
      </c>
      <c r="C14" s="214"/>
      <c r="D14" s="216"/>
      <c r="E14" s="217"/>
      <c r="F14" s="214" t="s">
        <v>58</v>
      </c>
      <c r="G14" s="218" t="s">
        <v>63</v>
      </c>
      <c r="H14" s="214"/>
      <c r="I14" s="214"/>
      <c r="J14" s="219" t="str">
        <f>IF(J13="","",E15/J12/J13)</f>
        <v/>
      </c>
      <c r="K14" s="214" t="s">
        <v>44</v>
      </c>
      <c r="L14" s="480" t="s">
        <v>260</v>
      </c>
      <c r="M14" s="481"/>
      <c r="N14" s="481"/>
      <c r="O14" s="481"/>
      <c r="P14" s="482"/>
      <c r="Q14" s="220"/>
      <c r="R14" s="221"/>
      <c r="S14" s="221"/>
      <c r="T14" s="221"/>
      <c r="U14" s="221"/>
    </row>
    <row r="15" spans="1:74" s="222" customFormat="1" x14ac:dyDescent="0.25">
      <c r="A15" s="214"/>
      <c r="B15" s="265" t="s">
        <v>55</v>
      </c>
      <c r="C15" s="266"/>
      <c r="D15" s="267"/>
      <c r="E15" s="268" t="str">
        <f>IF(E14="","",E13*E14)</f>
        <v/>
      </c>
      <c r="F15" s="214" t="s">
        <v>58</v>
      </c>
      <c r="G15" s="214" t="s">
        <v>64</v>
      </c>
      <c r="H15" s="214"/>
      <c r="I15" s="214"/>
      <c r="J15" s="234"/>
      <c r="K15" s="214" t="s">
        <v>44</v>
      </c>
      <c r="L15" s="481"/>
      <c r="M15" s="481"/>
      <c r="N15" s="481"/>
      <c r="O15" s="481"/>
      <c r="P15" s="482"/>
      <c r="Q15" s="269"/>
      <c r="R15" s="236"/>
      <c r="S15" s="236"/>
      <c r="T15" s="236"/>
      <c r="U15" s="236"/>
      <c r="BD15" s="222">
        <v>1</v>
      </c>
      <c r="BE15" s="222">
        <v>2</v>
      </c>
      <c r="BF15" s="222">
        <v>3</v>
      </c>
      <c r="BG15" s="222">
        <v>4</v>
      </c>
      <c r="BH15" s="222">
        <v>5</v>
      </c>
      <c r="BI15" s="222">
        <v>6</v>
      </c>
      <c r="BV15" s="359" t="s">
        <v>232</v>
      </c>
    </row>
    <row r="16" spans="1:74" s="222" customFormat="1" x14ac:dyDescent="0.25">
      <c r="A16" s="214"/>
      <c r="B16" s="483" t="s">
        <v>59</v>
      </c>
      <c r="C16" s="484"/>
      <c r="D16" s="484"/>
      <c r="E16" s="484"/>
      <c r="F16" s="214"/>
      <c r="G16" s="487" t="s">
        <v>79</v>
      </c>
      <c r="H16" s="484"/>
      <c r="I16" s="484"/>
      <c r="J16" s="484"/>
      <c r="K16" s="214"/>
      <c r="L16" s="480" t="s">
        <v>264</v>
      </c>
      <c r="M16" s="481"/>
      <c r="N16" s="481"/>
      <c r="O16" s="481"/>
      <c r="P16" s="482"/>
      <c r="Q16" s="269"/>
      <c r="R16" s="236"/>
      <c r="S16" s="236"/>
      <c r="T16" s="236"/>
      <c r="U16" s="236"/>
      <c r="BA16" s="270" t="s">
        <v>203</v>
      </c>
      <c r="BF16" s="271" t="s">
        <v>204</v>
      </c>
    </row>
    <row r="17" spans="1:76" s="222" customFormat="1" x14ac:dyDescent="0.25">
      <c r="A17" s="214"/>
      <c r="B17" s="485"/>
      <c r="C17" s="486"/>
      <c r="D17" s="486"/>
      <c r="E17" s="486"/>
      <c r="F17" s="253"/>
      <c r="G17" s="486"/>
      <c r="H17" s="486"/>
      <c r="I17" s="486"/>
      <c r="J17" s="486"/>
      <c r="K17" s="272"/>
      <c r="L17" s="488"/>
      <c r="M17" s="488"/>
      <c r="N17" s="488"/>
      <c r="O17" s="488"/>
      <c r="P17" s="489"/>
      <c r="Q17" s="269"/>
      <c r="R17" s="236"/>
      <c r="S17" s="236"/>
      <c r="T17" s="236"/>
      <c r="U17" s="236"/>
      <c r="AR17" s="237"/>
      <c r="AS17" s="237" t="s">
        <v>129</v>
      </c>
      <c r="AT17" s="237"/>
      <c r="AU17" s="237"/>
      <c r="AV17" s="238"/>
      <c r="AW17" s="239" t="s">
        <v>195</v>
      </c>
      <c r="AZ17" s="239" t="s">
        <v>206</v>
      </c>
      <c r="BC17" s="238"/>
      <c r="BD17" s="238"/>
      <c r="BE17" s="197" t="s">
        <v>201</v>
      </c>
      <c r="BF17" s="197" t="s">
        <v>202</v>
      </c>
      <c r="BG17" s="449" t="s">
        <v>238</v>
      </c>
      <c r="BH17" s="449" t="s">
        <v>198</v>
      </c>
      <c r="BI17" s="359" t="s">
        <v>199</v>
      </c>
    </row>
    <row r="18" spans="1:76" s="222" customFormat="1" ht="15" customHeight="1" x14ac:dyDescent="0.25">
      <c r="A18" s="214"/>
      <c r="B18" s="273"/>
      <c r="C18" s="214"/>
      <c r="D18" s="229"/>
      <c r="E18" s="214"/>
      <c r="F18" s="214"/>
      <c r="G18" s="214"/>
      <c r="H18" s="214"/>
      <c r="I18" s="229"/>
      <c r="J18" s="214"/>
      <c r="K18" s="214"/>
      <c r="L18" s="227"/>
      <c r="M18" s="227"/>
      <c r="N18" s="227"/>
      <c r="O18" s="227"/>
      <c r="P18" s="227"/>
      <c r="Q18" s="274"/>
      <c r="R18" s="236"/>
      <c r="S18" s="236"/>
      <c r="T18" s="236"/>
      <c r="U18" s="236"/>
      <c r="AR18" s="237">
        <v>1</v>
      </c>
      <c r="AS18" s="237"/>
      <c r="AT18" s="237"/>
      <c r="AU18" s="237"/>
      <c r="AV18" s="238"/>
      <c r="AZ18" s="270" t="s">
        <v>205</v>
      </c>
      <c r="BB18" s="275"/>
      <c r="BC18" s="242" t="s">
        <v>12</v>
      </c>
      <c r="BT18" s="359" t="s">
        <v>233</v>
      </c>
      <c r="BU18" s="359" t="s">
        <v>234</v>
      </c>
      <c r="BV18" s="359" t="s">
        <v>235</v>
      </c>
      <c r="BW18" s="359" t="s">
        <v>236</v>
      </c>
      <c r="BX18" s="359" t="s">
        <v>237</v>
      </c>
    </row>
    <row r="19" spans="1:76" s="222" customFormat="1" ht="17.399999999999999" x14ac:dyDescent="0.25">
      <c r="A19" s="214"/>
      <c r="B19" s="276" t="s">
        <v>75</v>
      </c>
      <c r="C19" s="254"/>
      <c r="D19" s="254"/>
      <c r="E19" s="277"/>
      <c r="F19" s="254"/>
      <c r="G19" s="278"/>
      <c r="H19" s="278"/>
      <c r="I19" s="279"/>
      <c r="J19" s="279"/>
      <c r="K19" s="278"/>
      <c r="L19" s="280"/>
      <c r="M19" s="280"/>
      <c r="N19" s="280"/>
      <c r="O19" s="280"/>
      <c r="P19" s="369"/>
      <c r="Q19" s="235"/>
      <c r="R19" s="236"/>
      <c r="S19" s="236"/>
      <c r="T19" s="236"/>
      <c r="U19" s="236"/>
      <c r="AR19" s="237">
        <v>2</v>
      </c>
      <c r="AS19" s="374" t="s">
        <v>5</v>
      </c>
      <c r="AT19" s="237"/>
      <c r="AU19" s="237"/>
      <c r="AV19" s="238"/>
      <c r="AW19" s="222">
        <v>1</v>
      </c>
      <c r="AZ19" s="238"/>
      <c r="BB19" s="275">
        <v>1</v>
      </c>
      <c r="BC19" s="240"/>
      <c r="BE19" s="275" t="s">
        <v>128</v>
      </c>
    </row>
    <row r="20" spans="1:76" s="222" customFormat="1" x14ac:dyDescent="0.25">
      <c r="A20" s="214"/>
      <c r="B20" s="281" t="s">
        <v>77</v>
      </c>
      <c r="C20" s="214"/>
      <c r="D20" s="214"/>
      <c r="E20" s="282"/>
      <c r="F20" s="214"/>
      <c r="G20" s="28" t="s">
        <v>200</v>
      </c>
      <c r="H20" s="214"/>
      <c r="I20" s="214"/>
      <c r="J20" s="214"/>
      <c r="K20" s="214"/>
      <c r="L20" s="28" t="s">
        <v>160</v>
      </c>
      <c r="M20" s="214"/>
      <c r="N20" s="214"/>
      <c r="O20" s="214"/>
      <c r="P20" s="370"/>
      <c r="Q20" s="235"/>
      <c r="R20" s="236"/>
      <c r="S20" s="236"/>
      <c r="T20" s="236"/>
      <c r="U20" s="236"/>
      <c r="AR20" s="237">
        <v>3</v>
      </c>
      <c r="AS20" s="374" t="s">
        <v>130</v>
      </c>
      <c r="AT20" s="237"/>
      <c r="AU20" s="237"/>
      <c r="AV20" s="238"/>
      <c r="AW20" s="222">
        <v>2</v>
      </c>
      <c r="AX20" s="239" t="s">
        <v>196</v>
      </c>
      <c r="AZ20" s="238">
        <v>150</v>
      </c>
      <c r="BB20" s="275">
        <v>2</v>
      </c>
      <c r="BC20" s="241" t="s">
        <v>0</v>
      </c>
      <c r="BE20" s="283">
        <v>1.0489999999999999</v>
      </c>
      <c r="BF20" s="222">
        <v>1.0289999999999999</v>
      </c>
      <c r="BG20" s="222">
        <v>0.86299999999999999</v>
      </c>
      <c r="BH20" s="222">
        <v>1.0249999999999999</v>
      </c>
      <c r="BI20" s="283">
        <v>1.0489999999999999</v>
      </c>
      <c r="BM20" s="283"/>
      <c r="BT20" s="241" t="s">
        <v>0</v>
      </c>
      <c r="BU20" s="222">
        <v>1.125</v>
      </c>
      <c r="BV20" s="222">
        <v>0.125</v>
      </c>
      <c r="BW20" s="222">
        <v>1.2E-2</v>
      </c>
      <c r="BX20" s="222">
        <f>BU20-2*BV20-BW20</f>
        <v>0.86299999999999999</v>
      </c>
    </row>
    <row r="21" spans="1:76" s="222" customFormat="1" ht="16.5" customHeight="1" x14ac:dyDescent="0.25">
      <c r="A21" s="214"/>
      <c r="B21" s="215" t="s">
        <v>47</v>
      </c>
      <c r="C21" s="214"/>
      <c r="D21" s="478"/>
      <c r="E21" s="479"/>
      <c r="F21" s="214"/>
      <c r="G21" s="232" t="s">
        <v>194</v>
      </c>
      <c r="H21" s="233"/>
      <c r="I21" s="233"/>
      <c r="J21" s="233"/>
      <c r="K21" s="233"/>
      <c r="L21" s="361" t="s">
        <v>224</v>
      </c>
      <c r="M21" s="214"/>
      <c r="N21" s="478"/>
      <c r="O21" s="502"/>
      <c r="P21" s="463" t="s">
        <v>257</v>
      </c>
      <c r="Q21" s="235"/>
      <c r="R21" s="236"/>
      <c r="S21" s="236"/>
      <c r="T21" s="236"/>
      <c r="U21" s="236"/>
      <c r="AR21" s="237">
        <v>4</v>
      </c>
      <c r="AS21" s="374" t="s">
        <v>6</v>
      </c>
      <c r="AT21" s="237"/>
      <c r="AU21" s="237"/>
      <c r="AV21" s="238"/>
      <c r="AW21" s="222">
        <v>3</v>
      </c>
      <c r="AX21" s="239" t="s">
        <v>197</v>
      </c>
      <c r="AZ21" s="238">
        <v>150</v>
      </c>
      <c r="BB21" s="240">
        <v>3</v>
      </c>
      <c r="BC21" s="241" t="s">
        <v>131</v>
      </c>
      <c r="BE21" s="242">
        <v>1.38</v>
      </c>
      <c r="BF21" s="222">
        <v>1.36</v>
      </c>
      <c r="BG21" s="222">
        <v>1.054</v>
      </c>
      <c r="BH21" s="222">
        <v>1.2649999999999999</v>
      </c>
      <c r="BI21" s="242">
        <v>1.38</v>
      </c>
      <c r="BM21" s="242"/>
      <c r="BT21" s="241" t="s">
        <v>131</v>
      </c>
      <c r="BU21" s="222">
        <v>1.375</v>
      </c>
      <c r="BV21" s="222">
        <v>0.153</v>
      </c>
      <c r="BW21" s="222">
        <v>1.4999999999999999E-2</v>
      </c>
      <c r="BX21" s="222">
        <f t="shared" ref="BX21:BX23" si="0">BU21-2*BV21-BW21</f>
        <v>1.054</v>
      </c>
    </row>
    <row r="22" spans="1:76" s="353" customFormat="1" ht="16.5" customHeight="1" x14ac:dyDescent="0.25">
      <c r="A22" s="5"/>
      <c r="B22" s="347" t="s">
        <v>92</v>
      </c>
      <c r="C22" s="348"/>
      <c r="D22" s="349"/>
      <c r="E22" s="350" t="str">
        <f>CHOOSE(AR23,"",J14,J15,O12)</f>
        <v/>
      </c>
      <c r="F22" s="5" t="s">
        <v>44</v>
      </c>
      <c r="G22" s="192" t="s">
        <v>192</v>
      </c>
      <c r="H22" s="5"/>
      <c r="I22" s="5"/>
      <c r="J22" s="5"/>
      <c r="K22" s="5"/>
      <c r="L22" s="361" t="s">
        <v>221</v>
      </c>
      <c r="M22" s="352"/>
      <c r="N22" s="365"/>
      <c r="O22" s="363"/>
      <c r="P22" s="370" t="s">
        <v>137</v>
      </c>
      <c r="Q22" s="351"/>
      <c r="R22" s="352"/>
      <c r="S22" s="352"/>
      <c r="T22" s="352"/>
      <c r="U22" s="352"/>
      <c r="AR22" s="354"/>
      <c r="AS22" s="354"/>
      <c r="AT22" s="354"/>
      <c r="AU22" s="354"/>
      <c r="AV22" s="355"/>
      <c r="AW22" s="353">
        <v>4</v>
      </c>
      <c r="AX22" s="450" t="s">
        <v>239</v>
      </c>
      <c r="AZ22" s="355">
        <v>150</v>
      </c>
      <c r="BB22" s="356">
        <v>4</v>
      </c>
      <c r="BC22" s="146" t="s">
        <v>132</v>
      </c>
      <c r="BE22" s="144">
        <v>1.61</v>
      </c>
      <c r="BF22" s="353">
        <v>1.59</v>
      </c>
      <c r="BG22" s="353">
        <v>1.2449999999999999</v>
      </c>
      <c r="BH22" s="353">
        <v>1.5049999999999999</v>
      </c>
      <c r="BI22" s="144">
        <v>1.61</v>
      </c>
      <c r="BM22" s="144"/>
      <c r="BT22" s="146" t="s">
        <v>132</v>
      </c>
      <c r="BU22" s="353">
        <v>1.625</v>
      </c>
      <c r="BV22" s="353">
        <v>0.18099999999999999</v>
      </c>
      <c r="BW22" s="353">
        <v>1.7999999999999999E-2</v>
      </c>
      <c r="BX22" s="222">
        <f t="shared" si="0"/>
        <v>1.2449999999999999</v>
      </c>
    </row>
    <row r="23" spans="1:76" s="222" customFormat="1" ht="15" customHeight="1" x14ac:dyDescent="0.25">
      <c r="A23" s="214"/>
      <c r="B23" s="468" t="s">
        <v>93</v>
      </c>
      <c r="C23" s="469"/>
      <c r="D23" s="469"/>
      <c r="E23" s="469"/>
      <c r="F23" s="284"/>
      <c r="G23" s="243" t="s">
        <v>193</v>
      </c>
      <c r="H23" s="214"/>
      <c r="I23" s="214"/>
      <c r="J23" s="268" t="str">
        <f>IF(BB25=1,"",INDEX(BD19:BI23,BB25,AW25))</f>
        <v/>
      </c>
      <c r="K23" s="214" t="s">
        <v>20</v>
      </c>
      <c r="L23" s="236"/>
      <c r="M23" s="236"/>
      <c r="N23" s="366"/>
      <c r="O23" s="366"/>
      <c r="P23" s="371"/>
      <c r="Q23" s="235"/>
      <c r="R23" s="236"/>
      <c r="S23" s="236"/>
      <c r="T23" s="236"/>
      <c r="U23" s="236"/>
      <c r="AR23" s="256">
        <v>1</v>
      </c>
      <c r="AS23" s="285" t="s">
        <v>133</v>
      </c>
      <c r="AT23" s="286"/>
      <c r="AU23" s="237"/>
      <c r="AV23" s="238"/>
      <c r="AW23" s="222">
        <v>5</v>
      </c>
      <c r="AX23" s="359" t="s">
        <v>198</v>
      </c>
      <c r="AZ23" s="238">
        <v>130</v>
      </c>
      <c r="BB23" s="240">
        <v>5</v>
      </c>
      <c r="BC23" s="241" t="s">
        <v>1</v>
      </c>
      <c r="BE23" s="242">
        <v>2.0670000000000002</v>
      </c>
      <c r="BF23" s="222">
        <v>2.0470000000000002</v>
      </c>
      <c r="BG23" s="222">
        <v>1.629</v>
      </c>
      <c r="BH23" s="222">
        <v>1.9850000000000001</v>
      </c>
      <c r="BI23" s="242">
        <v>2.0670000000000002</v>
      </c>
      <c r="BM23" s="242"/>
      <c r="BT23" s="241" t="s">
        <v>1</v>
      </c>
      <c r="BU23" s="222">
        <v>2.125</v>
      </c>
      <c r="BV23" s="222">
        <v>0.23599999999999999</v>
      </c>
      <c r="BW23" s="222">
        <v>2.4E-2</v>
      </c>
      <c r="BX23" s="222">
        <f t="shared" si="0"/>
        <v>1.629</v>
      </c>
    </row>
    <row r="24" spans="1:76" s="222" customFormat="1" ht="12.75" customHeight="1" x14ac:dyDescent="0.25">
      <c r="A24" s="214"/>
      <c r="B24" s="470"/>
      <c r="C24" s="471"/>
      <c r="D24" s="471"/>
      <c r="E24" s="471"/>
      <c r="F24" s="284"/>
      <c r="G24" s="214" t="s">
        <v>22</v>
      </c>
      <c r="H24" s="214"/>
      <c r="I24" s="214"/>
      <c r="J24" s="287" t="str">
        <f>IF(BB25=1,"",(J23/2)^2*PI()/144)</f>
        <v/>
      </c>
      <c r="K24" s="214" t="s">
        <v>21</v>
      </c>
      <c r="L24" s="358" t="s">
        <v>225</v>
      </c>
      <c r="M24" s="236"/>
      <c r="N24" s="478"/>
      <c r="O24" s="502"/>
      <c r="P24" s="463" t="s">
        <v>257</v>
      </c>
      <c r="Q24" s="235"/>
      <c r="R24" s="236"/>
      <c r="S24" s="236"/>
      <c r="T24" s="236"/>
      <c r="U24" s="236"/>
      <c r="AR24" s="237"/>
      <c r="AS24" s="237"/>
      <c r="AT24" s="286"/>
      <c r="AU24" s="237"/>
      <c r="AV24" s="238"/>
      <c r="AW24" s="222">
        <v>6</v>
      </c>
      <c r="AX24" s="359" t="s">
        <v>199</v>
      </c>
      <c r="AZ24" s="238">
        <v>80</v>
      </c>
      <c r="BB24" s="238"/>
      <c r="BC24" s="238"/>
      <c r="BD24" s="238"/>
    </row>
    <row r="25" spans="1:76" s="222" customFormat="1" ht="12" customHeight="1" x14ac:dyDescent="0.25">
      <c r="A25" s="214"/>
      <c r="B25" s="470"/>
      <c r="C25" s="471"/>
      <c r="D25" s="471"/>
      <c r="E25" s="471"/>
      <c r="F25" s="173"/>
      <c r="G25" s="214" t="s">
        <v>134</v>
      </c>
      <c r="H25" s="214"/>
      <c r="I25" s="233"/>
      <c r="J25" s="467" t="str">
        <f>IF(OR(BB25= 1,E22=""),"",1043.8*POWER(E22/AZ25,1.85)/POWER(J23,4.87))</f>
        <v/>
      </c>
      <c r="K25" s="233" t="s">
        <v>135</v>
      </c>
      <c r="L25" s="362" t="s">
        <v>222</v>
      </c>
      <c r="M25" s="5"/>
      <c r="N25" s="367"/>
      <c r="O25" s="364"/>
      <c r="P25" s="372" t="s">
        <v>137</v>
      </c>
      <c r="Q25" s="235"/>
      <c r="R25" s="236"/>
      <c r="S25" s="236"/>
      <c r="T25" s="233"/>
      <c r="U25" s="236"/>
      <c r="AR25" s="237"/>
      <c r="AS25" s="237"/>
      <c r="AT25" s="286"/>
      <c r="AU25" s="237"/>
      <c r="AV25" s="238"/>
      <c r="AW25" s="290">
        <v>1</v>
      </c>
      <c r="AX25" s="291" t="s">
        <v>133</v>
      </c>
      <c r="AZ25" s="238" t="str">
        <f>CHOOSE(AW25,"",150,150,150,130,80)</f>
        <v/>
      </c>
      <c r="BB25" s="290">
        <v>1</v>
      </c>
      <c r="BC25" s="292" t="s">
        <v>133</v>
      </c>
      <c r="BD25" s="238"/>
    </row>
    <row r="26" spans="1:76" s="222" customFormat="1" ht="12.75" customHeight="1" x14ac:dyDescent="0.25">
      <c r="A26" s="214"/>
      <c r="B26" s="215" t="s">
        <v>153</v>
      </c>
      <c r="C26" s="214"/>
      <c r="D26" s="214"/>
      <c r="E26" s="226"/>
      <c r="F26" s="214" t="s">
        <v>2</v>
      </c>
      <c r="G26" s="293" t="s">
        <v>54</v>
      </c>
      <c r="H26" s="294"/>
      <c r="I26" s="294"/>
      <c r="J26" s="219" t="str">
        <f>IF(BB25=1,"",IF(E22="","",E22*0.002228/J24))</f>
        <v/>
      </c>
      <c r="K26" s="214" t="s">
        <v>53</v>
      </c>
      <c r="L26" s="214"/>
      <c r="M26" s="214"/>
      <c r="N26" s="214"/>
      <c r="O26" s="212"/>
      <c r="P26" s="370"/>
      <c r="Q26" s="215"/>
      <c r="R26" s="221"/>
      <c r="S26" s="221"/>
      <c r="T26" s="214"/>
      <c r="U26" s="221"/>
    </row>
    <row r="27" spans="1:76" s="222" customFormat="1" ht="15.75" customHeight="1" x14ac:dyDescent="0.25">
      <c r="A27" s="214"/>
      <c r="B27" s="483" t="s">
        <v>177</v>
      </c>
      <c r="C27" s="487"/>
      <c r="D27" s="487"/>
      <c r="E27" s="487"/>
      <c r="F27" s="214"/>
      <c r="G27" s="487" t="s">
        <v>161</v>
      </c>
      <c r="H27" s="487"/>
      <c r="I27" s="487"/>
      <c r="J27" s="487"/>
      <c r="K27" s="487"/>
      <c r="L27" s="214" t="s">
        <v>150</v>
      </c>
      <c r="M27" s="214"/>
      <c r="N27" s="214"/>
      <c r="O27" s="263" t="str">
        <f>IF(O25="","",O22-O25)</f>
        <v/>
      </c>
      <c r="P27" s="370" t="s">
        <v>137</v>
      </c>
      <c r="Q27" s="215"/>
      <c r="R27" s="221"/>
      <c r="S27" s="221"/>
      <c r="T27" s="214"/>
      <c r="U27" s="221"/>
      <c r="AX27" s="222" t="s">
        <v>241</v>
      </c>
    </row>
    <row r="28" spans="1:76" s="222" customFormat="1" x14ac:dyDescent="0.25">
      <c r="A28" s="214"/>
      <c r="B28" s="483"/>
      <c r="C28" s="487"/>
      <c r="D28" s="487"/>
      <c r="E28" s="487"/>
      <c r="F28" s="214"/>
      <c r="G28" s="213"/>
      <c r="H28" s="213"/>
      <c r="I28" s="213"/>
      <c r="J28" s="213"/>
      <c r="K28" s="213"/>
      <c r="L28" s="214"/>
      <c r="M28" s="214"/>
      <c r="N28" s="289" t="s">
        <v>7</v>
      </c>
      <c r="O28" s="368" t="str">
        <f>IF(O27="","",O27/2.31)</f>
        <v/>
      </c>
      <c r="P28" s="370" t="s">
        <v>2</v>
      </c>
      <c r="Q28" s="215"/>
      <c r="R28" s="221"/>
      <c r="S28" s="221"/>
      <c r="T28" s="221"/>
      <c r="U28" s="221"/>
      <c r="AX28" s="222" t="s">
        <v>242</v>
      </c>
    </row>
    <row r="29" spans="1:76" s="222" customFormat="1" x14ac:dyDescent="0.25">
      <c r="A29" s="214"/>
      <c r="B29" s="215"/>
      <c r="C29" s="214"/>
      <c r="D29" s="214"/>
      <c r="E29" s="214"/>
      <c r="F29" s="214"/>
      <c r="G29" s="218" t="s">
        <v>148</v>
      </c>
      <c r="H29" s="214"/>
      <c r="I29" s="214"/>
      <c r="J29" s="234"/>
      <c r="K29" s="214" t="s">
        <v>137</v>
      </c>
      <c r="L29" s="214"/>
      <c r="M29" s="214"/>
      <c r="N29" s="214"/>
      <c r="O29" s="214"/>
      <c r="P29" s="370"/>
      <c r="Q29" s="215"/>
      <c r="R29" s="221"/>
      <c r="S29" s="221"/>
      <c r="T29" s="221"/>
      <c r="U29" s="221"/>
    </row>
    <row r="30" spans="1:76" s="222" customFormat="1" x14ac:dyDescent="0.25">
      <c r="A30" s="214"/>
      <c r="B30" s="296" t="s">
        <v>216</v>
      </c>
      <c r="C30" s="214"/>
      <c r="D30" s="214"/>
      <c r="E30" s="234"/>
      <c r="F30" s="214" t="s">
        <v>2</v>
      </c>
      <c r="G30" s="297" t="s">
        <v>149</v>
      </c>
      <c r="H30" s="298"/>
      <c r="I30" s="298"/>
      <c r="J30" s="299" t="str">
        <f>IF(J29="","",J29*1.1)</f>
        <v/>
      </c>
      <c r="K30" s="214" t="s">
        <v>137</v>
      </c>
      <c r="M30" s="214"/>
      <c r="N30" s="214"/>
      <c r="O30" s="214"/>
      <c r="P30" s="370"/>
      <c r="Q30" s="215"/>
      <c r="R30" s="221"/>
      <c r="S30" s="221"/>
      <c r="T30" s="221"/>
      <c r="U30" s="221"/>
    </row>
    <row r="31" spans="1:76" s="222" customFormat="1" ht="12.75" customHeight="1" x14ac:dyDescent="0.25">
      <c r="A31" s="214"/>
      <c r="B31" s="483" t="s">
        <v>178</v>
      </c>
      <c r="C31" s="487"/>
      <c r="D31" s="487"/>
      <c r="E31" s="487"/>
      <c r="F31" s="214"/>
      <c r="G31" s="214" t="s">
        <v>50</v>
      </c>
      <c r="H31" s="214"/>
      <c r="I31" s="229"/>
      <c r="J31" s="300" t="str">
        <f>IF(J29="","",J25*J30/100)</f>
        <v/>
      </c>
      <c r="K31" s="214" t="s">
        <v>176</v>
      </c>
      <c r="L31" s="214"/>
      <c r="M31" s="214"/>
      <c r="N31" s="214"/>
      <c r="O31" s="214"/>
      <c r="P31" s="370"/>
      <c r="Q31" s="215"/>
      <c r="R31" s="221"/>
      <c r="S31" s="221"/>
      <c r="T31" s="221"/>
      <c r="U31" s="221"/>
    </row>
    <row r="32" spans="1:76" s="222" customFormat="1" x14ac:dyDescent="0.25">
      <c r="A32" s="214"/>
      <c r="B32" s="483"/>
      <c r="C32" s="487"/>
      <c r="D32" s="487"/>
      <c r="E32" s="487"/>
      <c r="F32" s="214"/>
      <c r="G32" s="214" t="s">
        <v>50</v>
      </c>
      <c r="H32" s="214"/>
      <c r="I32" s="214"/>
      <c r="J32" s="219" t="str">
        <f>IF(J31="","",J31/2.31)</f>
        <v/>
      </c>
      <c r="K32" s="243" t="s">
        <v>181</v>
      </c>
      <c r="L32" s="214"/>
      <c r="M32" s="214"/>
      <c r="N32" s="214"/>
      <c r="O32" s="214"/>
      <c r="P32" s="370"/>
      <c r="Q32" s="215"/>
      <c r="R32" s="221"/>
      <c r="S32" s="221"/>
      <c r="T32" s="221"/>
      <c r="U32" s="221"/>
    </row>
    <row r="33" spans="1:21" s="222" customFormat="1" x14ac:dyDescent="0.25">
      <c r="A33" s="214"/>
      <c r="B33" s="215"/>
      <c r="C33" s="214"/>
      <c r="D33" s="214"/>
      <c r="E33" s="214"/>
      <c r="F33" s="214"/>
      <c r="G33" s="221"/>
      <c r="H33" s="221"/>
      <c r="I33" s="221"/>
      <c r="J33" s="256"/>
      <c r="K33" s="221"/>
      <c r="L33" s="214"/>
      <c r="M33" s="214"/>
      <c r="N33" s="214"/>
      <c r="O33" s="214"/>
      <c r="P33" s="370"/>
      <c r="Q33" s="214"/>
      <c r="R33" s="221"/>
      <c r="S33" s="221"/>
      <c r="T33" s="221"/>
      <c r="U33" s="221"/>
    </row>
    <row r="34" spans="1:21" s="222" customFormat="1" x14ac:dyDescent="0.25">
      <c r="A34" s="214"/>
      <c r="B34" s="215"/>
      <c r="C34" s="214"/>
      <c r="D34" s="214"/>
      <c r="E34" s="214"/>
      <c r="F34" s="214"/>
      <c r="G34" s="214" t="s">
        <v>76</v>
      </c>
      <c r="H34" s="214"/>
      <c r="I34" s="214"/>
      <c r="J34" s="301"/>
      <c r="K34" s="214" t="s">
        <v>2</v>
      </c>
      <c r="L34" s="214"/>
      <c r="M34" s="214"/>
      <c r="N34" s="214"/>
      <c r="O34" s="214"/>
      <c r="P34" s="370"/>
      <c r="Q34" s="214"/>
      <c r="R34" s="221"/>
      <c r="S34" s="221"/>
      <c r="T34" s="221"/>
      <c r="U34" s="221"/>
    </row>
    <row r="35" spans="1:21" s="222" customFormat="1" x14ac:dyDescent="0.25">
      <c r="A35" s="214"/>
      <c r="B35" s="215"/>
      <c r="C35" s="214"/>
      <c r="D35" s="214"/>
      <c r="E35" s="214"/>
      <c r="F35" s="214"/>
      <c r="G35" s="214" t="s">
        <v>78</v>
      </c>
      <c r="H35" s="214"/>
      <c r="I35" s="214"/>
      <c r="J35" s="300" t="str">
        <f>IF(J34="","",0.72*J34)</f>
        <v/>
      </c>
      <c r="K35" s="375" t="s">
        <v>226</v>
      </c>
      <c r="L35" s="214"/>
      <c r="M35" s="214"/>
      <c r="N35" s="214"/>
      <c r="O35" s="214"/>
      <c r="P35" s="370"/>
      <c r="Q35" s="214"/>
      <c r="R35" s="221"/>
      <c r="S35" s="221"/>
      <c r="T35" s="221"/>
      <c r="U35" s="221"/>
    </row>
    <row r="36" spans="1:21" s="222" customFormat="1" x14ac:dyDescent="0.25">
      <c r="A36" s="214"/>
      <c r="B36" s="302"/>
      <c r="C36" s="253"/>
      <c r="D36" s="253"/>
      <c r="E36" s="253"/>
      <c r="F36" s="253"/>
      <c r="G36" s="253"/>
      <c r="H36" s="253"/>
      <c r="I36" s="303"/>
      <c r="J36" s="304"/>
      <c r="K36" s="303"/>
      <c r="L36" s="253"/>
      <c r="M36" s="253"/>
      <c r="N36" s="253"/>
      <c r="O36" s="253"/>
      <c r="P36" s="373"/>
      <c r="Q36" s="214"/>
      <c r="R36" s="221"/>
      <c r="S36" s="221"/>
      <c r="T36" s="221"/>
      <c r="U36" s="221"/>
    </row>
    <row r="37" spans="1:21" s="222" customFormat="1" ht="10.5" customHeight="1" x14ac:dyDescent="0.25">
      <c r="A37" s="214"/>
      <c r="B37" s="306"/>
      <c r="C37" s="306"/>
      <c r="D37" s="306"/>
      <c r="E37" s="306"/>
      <c r="F37" s="214"/>
      <c r="G37" s="214"/>
      <c r="H37" s="214"/>
      <c r="I37" s="214"/>
      <c r="J37" s="214"/>
      <c r="K37" s="214"/>
      <c r="L37" s="214"/>
      <c r="M37" s="214"/>
      <c r="N37" s="214"/>
      <c r="O37" s="214"/>
      <c r="P37" s="214"/>
      <c r="Q37" s="214"/>
      <c r="R37" s="221"/>
      <c r="S37" s="221"/>
      <c r="T37" s="221"/>
      <c r="U37" s="221"/>
    </row>
    <row r="38" spans="1:21" s="222" customFormat="1" ht="18.75" customHeight="1" x14ac:dyDescent="0.25">
      <c r="A38" s="214"/>
      <c r="B38" s="507" t="s">
        <v>151</v>
      </c>
      <c r="C38" s="508"/>
      <c r="D38" s="508"/>
      <c r="E38" s="508"/>
      <c r="F38" s="508"/>
      <c r="G38" s="307"/>
      <c r="H38" s="307"/>
      <c r="I38" s="307"/>
      <c r="J38" s="254"/>
      <c r="K38" s="254"/>
      <c r="L38" s="254"/>
      <c r="M38" s="254"/>
      <c r="N38" s="254"/>
      <c r="O38" s="254"/>
      <c r="P38" s="255"/>
      <c r="Q38" s="215"/>
      <c r="R38" s="221"/>
      <c r="S38" s="221"/>
      <c r="T38" s="221"/>
      <c r="U38" s="221"/>
    </row>
    <row r="39" spans="1:21" s="222" customFormat="1" x14ac:dyDescent="0.25">
      <c r="A39" s="214"/>
      <c r="B39" s="308" t="s">
        <v>166</v>
      </c>
      <c r="C39" s="309"/>
      <c r="D39" s="309"/>
      <c r="E39" s="309"/>
      <c r="F39" s="309"/>
      <c r="G39" s="309"/>
      <c r="H39" s="309"/>
      <c r="I39" s="28" t="s">
        <v>156</v>
      </c>
      <c r="J39" s="309"/>
      <c r="K39" s="218"/>
      <c r="L39" s="218"/>
      <c r="M39" s="218"/>
      <c r="N39" s="214"/>
      <c r="O39" s="214"/>
      <c r="P39" s="228"/>
      <c r="Q39" s="215"/>
      <c r="R39" s="221"/>
      <c r="S39" s="221"/>
      <c r="T39" s="221"/>
      <c r="U39" s="221"/>
    </row>
    <row r="40" spans="1:21" s="222" customFormat="1" x14ac:dyDescent="0.25">
      <c r="A40" s="214"/>
      <c r="B40" s="112"/>
      <c r="C40" s="310" t="s">
        <v>51</v>
      </c>
      <c r="D40" s="218"/>
      <c r="E40" s="311" t="str">
        <f>O28</f>
        <v/>
      </c>
      <c r="F40" s="312" t="s">
        <v>172</v>
      </c>
      <c r="G40" s="313" t="str">
        <f>IF(E40="","",E40*2.31)</f>
        <v/>
      </c>
      <c r="H40" s="218" t="s">
        <v>137</v>
      </c>
      <c r="I40" s="214"/>
      <c r="J40" s="214" t="s">
        <v>138</v>
      </c>
      <c r="K40" s="214"/>
      <c r="L40" s="314" t="str">
        <f>IF(E44="","",IF(E44&lt;20,20,IF((FLOOR(E44,10)+4.999)&lt;E44,CEILING(E44,10),FLOOR(E44,10))))</f>
        <v/>
      </c>
      <c r="M40" s="218" t="s">
        <v>139</v>
      </c>
      <c r="N40" s="214"/>
      <c r="O40" s="214"/>
      <c r="P40" s="228"/>
      <c r="Q40" s="215"/>
      <c r="R40" s="221"/>
      <c r="S40" s="221"/>
      <c r="T40" s="221"/>
      <c r="U40" s="221"/>
    </row>
    <row r="41" spans="1:21" s="222" customFormat="1" x14ac:dyDescent="0.25">
      <c r="A41" s="214"/>
      <c r="B41" s="112"/>
      <c r="C41" s="293" t="s">
        <v>140</v>
      </c>
      <c r="D41" s="214"/>
      <c r="E41" s="315" t="str">
        <f>J32</f>
        <v/>
      </c>
      <c r="F41" s="312" t="s">
        <v>172</v>
      </c>
      <c r="G41" s="313" t="str">
        <f>IF(E41="","",E41*2.31)</f>
        <v/>
      </c>
      <c r="H41" s="218" t="s">
        <v>137</v>
      </c>
      <c r="I41" s="214"/>
      <c r="J41" s="218" t="s">
        <v>141</v>
      </c>
      <c r="K41" s="218"/>
      <c r="L41" s="316" t="str">
        <f>IF(L40="","",L40+20)</f>
        <v/>
      </c>
      <c r="M41" s="218" t="s">
        <v>142</v>
      </c>
      <c r="N41" s="214"/>
      <c r="O41" s="214"/>
      <c r="P41" s="228"/>
      <c r="Q41" s="215"/>
      <c r="R41" s="221"/>
      <c r="S41" s="221"/>
      <c r="T41" s="221"/>
      <c r="U41" s="221"/>
    </row>
    <row r="42" spans="1:21" s="222" customFormat="1" x14ac:dyDescent="0.25">
      <c r="A42" s="214"/>
      <c r="B42" s="112"/>
      <c r="C42" s="317" t="s">
        <v>216</v>
      </c>
      <c r="D42" s="218"/>
      <c r="E42" s="341" t="str">
        <f>IF(E30="","",E30)</f>
        <v/>
      </c>
      <c r="F42" s="312" t="s">
        <v>172</v>
      </c>
      <c r="G42" s="313" t="str">
        <f>IF(E42="","",E42*2.31)</f>
        <v/>
      </c>
      <c r="H42" s="218" t="s">
        <v>137</v>
      </c>
      <c r="I42" s="229"/>
      <c r="J42" s="506" t="s">
        <v>255</v>
      </c>
      <c r="K42" s="487"/>
      <c r="L42" s="487"/>
      <c r="M42" s="487"/>
      <c r="N42" s="487"/>
      <c r="O42" s="487"/>
      <c r="P42" s="228"/>
      <c r="Q42" s="215"/>
      <c r="R42" s="221"/>
      <c r="S42" s="221"/>
      <c r="T42" s="221"/>
      <c r="U42" s="221"/>
    </row>
    <row r="43" spans="1:21" s="222" customFormat="1" x14ac:dyDescent="0.25">
      <c r="A43" s="214"/>
      <c r="B43" s="112"/>
      <c r="C43" s="358" t="s">
        <v>220</v>
      </c>
      <c r="D43" s="360"/>
      <c r="E43" s="226"/>
      <c r="F43" s="358" t="s">
        <v>172</v>
      </c>
      <c r="G43" s="313" t="str">
        <f>IF(E43="","",E43*2.31)</f>
        <v/>
      </c>
      <c r="H43" s="359" t="s">
        <v>137</v>
      </c>
      <c r="I43" s="214"/>
      <c r="J43" s="487"/>
      <c r="K43" s="487"/>
      <c r="L43" s="487"/>
      <c r="M43" s="487"/>
      <c r="N43" s="487"/>
      <c r="O43" s="487"/>
      <c r="P43" s="288"/>
      <c r="Q43" s="321"/>
      <c r="R43" s="221"/>
      <c r="S43" s="221"/>
      <c r="T43" s="221"/>
      <c r="U43" s="221"/>
    </row>
    <row r="44" spans="1:21" s="222" customFormat="1" x14ac:dyDescent="0.25">
      <c r="A44" s="214"/>
      <c r="B44" s="215"/>
      <c r="C44" s="318" t="s">
        <v>167</v>
      </c>
      <c r="D44" s="218"/>
      <c r="E44" s="319" t="str">
        <f>IF(E40="","",SUM(E40:E43))</f>
        <v/>
      </c>
      <c r="F44" s="312" t="s">
        <v>172</v>
      </c>
      <c r="G44" s="320" t="str">
        <f>IF(E44="","",E44*2.31)</f>
        <v/>
      </c>
      <c r="H44" s="218" t="s">
        <v>137</v>
      </c>
      <c r="I44" s="214"/>
      <c r="J44" s="465" t="s">
        <v>254</v>
      </c>
      <c r="K44" s="214"/>
      <c r="L44" s="214"/>
      <c r="M44" s="214"/>
      <c r="N44" s="214"/>
      <c r="O44" s="214"/>
      <c r="P44" s="228"/>
      <c r="Q44" s="215"/>
      <c r="R44" s="256"/>
      <c r="S44" s="221"/>
      <c r="T44" s="221"/>
      <c r="U44" s="221"/>
    </row>
    <row r="45" spans="1:21" s="222" customFormat="1" x14ac:dyDescent="0.25">
      <c r="A45" s="214"/>
      <c r="B45" s="126" t="s">
        <v>165</v>
      </c>
      <c r="C45" s="214"/>
      <c r="D45" s="214"/>
      <c r="E45" s="214"/>
      <c r="F45" s="214"/>
      <c r="G45" s="214"/>
      <c r="H45" s="214"/>
      <c r="I45" s="28" t="s">
        <v>155</v>
      </c>
      <c r="J45" s="214"/>
      <c r="K45" s="214"/>
      <c r="L45" s="214"/>
      <c r="M45" s="214"/>
      <c r="N45" s="506" t="s">
        <v>223</v>
      </c>
      <c r="O45" s="487"/>
      <c r="P45" s="505"/>
      <c r="Q45" s="215"/>
      <c r="R45" s="221"/>
      <c r="S45" s="221"/>
      <c r="T45" s="221"/>
      <c r="U45" s="221"/>
    </row>
    <row r="46" spans="1:21" s="222" customFormat="1" ht="12.75" customHeight="1" x14ac:dyDescent="0.25">
      <c r="A46" s="214"/>
      <c r="B46" s="322" t="s">
        <v>157</v>
      </c>
      <c r="C46" s="323"/>
      <c r="D46" s="324"/>
      <c r="E46" s="325" t="str">
        <f>L41</f>
        <v/>
      </c>
      <c r="F46" s="214" t="s">
        <v>175</v>
      </c>
      <c r="G46" s="326" t="str">
        <f>IF(L41="","",L41*2.31)</f>
        <v/>
      </c>
      <c r="H46" s="327" t="s">
        <v>152</v>
      </c>
      <c r="I46" s="214"/>
      <c r="J46" s="293" t="s">
        <v>154</v>
      </c>
      <c r="K46" s="214"/>
      <c r="L46" s="328" t="str">
        <f>E22</f>
        <v/>
      </c>
      <c r="M46" s="293" t="s">
        <v>143</v>
      </c>
      <c r="N46" s="487"/>
      <c r="O46" s="487"/>
      <c r="P46" s="505"/>
      <c r="Q46" s="215"/>
      <c r="R46" s="256"/>
      <c r="S46" s="221"/>
      <c r="T46" s="221"/>
      <c r="U46" s="221"/>
    </row>
    <row r="47" spans="1:21" s="222" customFormat="1" ht="12.75" customHeight="1" x14ac:dyDescent="0.25">
      <c r="A47" s="214"/>
      <c r="B47" s="511" t="s">
        <v>227</v>
      </c>
      <c r="C47" s="481"/>
      <c r="D47" s="481"/>
      <c r="E47" s="481"/>
      <c r="F47" s="481"/>
      <c r="G47" s="481"/>
      <c r="H47" s="329"/>
      <c r="I47" s="214"/>
      <c r="J47" s="214" t="s">
        <v>144</v>
      </c>
      <c r="K47" s="214"/>
      <c r="L47" s="330">
        <v>1</v>
      </c>
      <c r="M47" s="214" t="s">
        <v>145</v>
      </c>
      <c r="N47" s="487"/>
      <c r="O47" s="487"/>
      <c r="P47" s="505"/>
      <c r="Q47" s="215"/>
      <c r="R47" s="221"/>
      <c r="S47" s="221"/>
      <c r="T47" s="221"/>
      <c r="U47" s="221"/>
    </row>
    <row r="48" spans="1:21" s="222" customFormat="1" ht="15" customHeight="1" x14ac:dyDescent="0.25">
      <c r="A48" s="214"/>
      <c r="B48" s="512"/>
      <c r="C48" s="481"/>
      <c r="D48" s="481"/>
      <c r="E48" s="481"/>
      <c r="F48" s="481"/>
      <c r="G48" s="481"/>
      <c r="H48" s="329"/>
      <c r="I48" s="329"/>
      <c r="J48" s="297" t="s">
        <v>158</v>
      </c>
      <c r="K48" s="214"/>
      <c r="L48" s="331" t="str">
        <f>IF(L46="","",L46*L47)</f>
        <v/>
      </c>
      <c r="M48" s="214" t="s">
        <v>146</v>
      </c>
      <c r="N48" s="487"/>
      <c r="O48" s="487"/>
      <c r="P48" s="505"/>
      <c r="Q48" s="215"/>
      <c r="R48" s="221"/>
      <c r="S48" s="221"/>
      <c r="T48" s="221"/>
      <c r="U48" s="221"/>
    </row>
    <row r="49" spans="1:21" s="222" customFormat="1" ht="12.75" customHeight="1" x14ac:dyDescent="0.25">
      <c r="A49" s="214"/>
      <c r="B49" s="512"/>
      <c r="C49" s="481"/>
      <c r="D49" s="481"/>
      <c r="E49" s="481"/>
      <c r="F49" s="481"/>
      <c r="G49" s="481"/>
      <c r="H49" s="214"/>
      <c r="J49" s="173"/>
      <c r="K49" s="173"/>
      <c r="L49" s="173"/>
      <c r="M49" s="173"/>
      <c r="N49" s="332"/>
      <c r="O49" s="332"/>
      <c r="P49" s="333"/>
      <c r="Q49" s="321"/>
      <c r="R49" s="221"/>
      <c r="S49" s="221"/>
      <c r="T49" s="221"/>
      <c r="U49" s="221"/>
    </row>
    <row r="50" spans="1:21" s="222" customFormat="1" ht="9" customHeight="1" x14ac:dyDescent="0.25">
      <c r="A50" s="214"/>
      <c r="B50" s="254"/>
      <c r="C50" s="254"/>
      <c r="D50" s="254"/>
      <c r="E50" s="254"/>
      <c r="F50" s="254"/>
      <c r="G50" s="254"/>
      <c r="H50" s="254"/>
      <c r="I50" s="254"/>
      <c r="J50" s="254"/>
      <c r="K50" s="254"/>
      <c r="L50" s="139"/>
      <c r="M50" s="139"/>
      <c r="N50" s="139"/>
      <c r="O50" s="139"/>
      <c r="P50" s="278"/>
      <c r="Q50" s="218"/>
      <c r="R50" s="221"/>
      <c r="S50" s="221"/>
      <c r="T50" s="221"/>
      <c r="U50" s="221"/>
    </row>
    <row r="51" spans="1:21" s="222" customFormat="1" ht="18" customHeight="1" x14ac:dyDescent="0.25">
      <c r="A51" s="214"/>
      <c r="B51" s="507" t="s">
        <v>159</v>
      </c>
      <c r="C51" s="508"/>
      <c r="D51" s="508"/>
      <c r="E51" s="508"/>
      <c r="F51" s="508"/>
      <c r="G51" s="254"/>
      <c r="H51" s="254"/>
      <c r="I51" s="254"/>
      <c r="J51" s="254"/>
      <c r="K51" s="334"/>
      <c r="L51" s="254"/>
      <c r="M51" s="254"/>
      <c r="N51" s="503" t="s">
        <v>171</v>
      </c>
      <c r="O51" s="503"/>
      <c r="P51" s="504"/>
      <c r="Q51" s="215"/>
      <c r="R51" s="221"/>
      <c r="S51" s="221"/>
      <c r="T51" s="221"/>
      <c r="U51" s="221"/>
    </row>
    <row r="52" spans="1:21" s="222" customFormat="1" x14ac:dyDescent="0.25">
      <c r="A52" s="214"/>
      <c r="B52" s="308" t="s">
        <v>180</v>
      </c>
      <c r="C52" s="214"/>
      <c r="D52" s="214"/>
      <c r="E52" s="335" t="s">
        <v>217</v>
      </c>
      <c r="F52" s="236"/>
      <c r="G52" s="357"/>
      <c r="H52" s="337" t="s">
        <v>11</v>
      </c>
      <c r="I52" s="338" t="s">
        <v>164</v>
      </c>
      <c r="J52" s="214"/>
      <c r="K52" s="214"/>
      <c r="L52" s="214"/>
      <c r="M52" s="214"/>
      <c r="N52" s="487"/>
      <c r="O52" s="487"/>
      <c r="P52" s="505"/>
      <c r="Q52" s="321"/>
      <c r="R52" s="221"/>
      <c r="S52" s="221"/>
      <c r="T52" s="221"/>
      <c r="U52" s="221"/>
    </row>
    <row r="53" spans="1:21" s="222" customFormat="1" ht="13.5" customHeight="1" x14ac:dyDescent="0.25">
      <c r="A53" s="214"/>
      <c r="B53" s="308"/>
      <c r="C53" s="214"/>
      <c r="D53" s="214"/>
      <c r="E53" s="335" t="s">
        <v>179</v>
      </c>
      <c r="F53" s="236"/>
      <c r="G53" s="226"/>
      <c r="H53" s="239" t="s">
        <v>11</v>
      </c>
      <c r="I53" s="218"/>
      <c r="J53" s="297" t="s">
        <v>179</v>
      </c>
      <c r="K53" s="214"/>
      <c r="L53" s="339" t="str">
        <f>IF(G53="","",G53)</f>
        <v/>
      </c>
      <c r="M53" s="229" t="s">
        <v>137</v>
      </c>
      <c r="N53" s="487"/>
      <c r="O53" s="487"/>
      <c r="P53" s="505"/>
      <c r="Q53" s="321"/>
      <c r="R53" s="221"/>
      <c r="S53" s="221"/>
      <c r="T53" s="221"/>
      <c r="U53" s="221"/>
    </row>
    <row r="54" spans="1:21" s="222" customFormat="1" ht="14.25" customHeight="1" x14ac:dyDescent="0.25">
      <c r="A54" s="214"/>
      <c r="B54" s="509" t="s">
        <v>219</v>
      </c>
      <c r="C54" s="510"/>
      <c r="D54" s="510"/>
      <c r="E54" s="340" t="s">
        <v>147</v>
      </c>
      <c r="F54" s="340"/>
      <c r="G54" s="341" t="str">
        <f>IF(G52="","",L40)</f>
        <v/>
      </c>
      <c r="H54" s="218" t="s">
        <v>2</v>
      </c>
      <c r="I54" s="218"/>
      <c r="J54" s="214" t="s">
        <v>162</v>
      </c>
      <c r="K54" s="214"/>
      <c r="L54" s="234"/>
      <c r="M54" s="297" t="s">
        <v>137</v>
      </c>
      <c r="N54" s="487"/>
      <c r="O54" s="487"/>
      <c r="P54" s="505"/>
      <c r="Q54" s="321"/>
      <c r="R54" s="221"/>
      <c r="S54" s="221"/>
      <c r="T54" s="221"/>
      <c r="U54" s="221"/>
    </row>
    <row r="55" spans="1:21" s="222" customFormat="1" x14ac:dyDescent="0.25">
      <c r="A55" s="214"/>
      <c r="B55" s="509"/>
      <c r="C55" s="510"/>
      <c r="D55" s="510"/>
      <c r="E55" s="236"/>
      <c r="F55" s="236"/>
      <c r="G55" s="236"/>
      <c r="I55" s="214"/>
      <c r="J55" s="214" t="s">
        <v>163</v>
      </c>
      <c r="K55" s="214"/>
      <c r="L55" s="339" t="str">
        <f>IF(L53="","",L53-L54)</f>
        <v/>
      </c>
      <c r="M55" s="214" t="s">
        <v>169</v>
      </c>
      <c r="N55" s="342" t="str">
        <f>IF(L55="","",L55/2.31)</f>
        <v/>
      </c>
      <c r="O55" s="214" t="s">
        <v>2</v>
      </c>
      <c r="P55" s="343"/>
      <c r="Q55" s="321"/>
      <c r="R55" s="221"/>
      <c r="S55" s="221"/>
      <c r="T55" s="221"/>
      <c r="U55" s="221"/>
    </row>
    <row r="56" spans="1:21" s="222" customFormat="1" x14ac:dyDescent="0.25">
      <c r="A56" s="214"/>
      <c r="B56" s="509"/>
      <c r="C56" s="510"/>
      <c r="D56" s="510"/>
      <c r="E56" s="344" t="s">
        <v>218</v>
      </c>
      <c r="F56" s="233"/>
      <c r="G56" s="336" t="str">
        <f>IF(G53="","",(G52-G53)/2.31)</f>
        <v/>
      </c>
      <c r="H56" s="218" t="s">
        <v>2</v>
      </c>
      <c r="I56" s="173"/>
      <c r="J56" s="214" t="s">
        <v>170</v>
      </c>
      <c r="L56" s="221"/>
      <c r="M56" s="221"/>
      <c r="N56" s="341" t="str">
        <f>IF(L54="","",L41)</f>
        <v/>
      </c>
      <c r="O56" s="295" t="s">
        <v>2</v>
      </c>
      <c r="P56" s="228"/>
      <c r="Q56" s="321"/>
      <c r="R56" s="221"/>
      <c r="S56" s="221"/>
      <c r="T56" s="221"/>
      <c r="U56" s="221"/>
    </row>
    <row r="57" spans="1:21" s="222" customFormat="1" x14ac:dyDescent="0.25">
      <c r="A57" s="214"/>
      <c r="B57" s="509"/>
      <c r="C57" s="510"/>
      <c r="D57" s="510"/>
      <c r="E57" s="236"/>
      <c r="F57" s="236"/>
      <c r="G57" s="236"/>
      <c r="I57" s="173"/>
      <c r="J57" s="218" t="s">
        <v>168</v>
      </c>
      <c r="K57" s="218"/>
      <c r="L57" s="345"/>
      <c r="M57" s="345"/>
      <c r="N57" s="346" t="str">
        <f>IF(L54="","",N55+N56)</f>
        <v/>
      </c>
      <c r="O57" s="229" t="s">
        <v>2</v>
      </c>
      <c r="P57" s="288"/>
      <c r="Q57" s="215"/>
      <c r="R57" s="221"/>
      <c r="S57" s="221"/>
      <c r="T57" s="221"/>
      <c r="U57" s="221"/>
    </row>
    <row r="58" spans="1:21" s="222" customFormat="1" ht="12" customHeight="1" x14ac:dyDescent="0.25">
      <c r="A58" s="214"/>
      <c r="B58" s="302"/>
      <c r="C58" s="253"/>
      <c r="D58" s="253"/>
      <c r="E58" s="303"/>
      <c r="F58" s="303"/>
      <c r="G58" s="303"/>
      <c r="H58" s="253"/>
      <c r="I58" s="253"/>
      <c r="J58" s="253"/>
      <c r="K58" s="253"/>
      <c r="L58" s="253"/>
      <c r="M58" s="253"/>
      <c r="N58" s="253"/>
      <c r="O58" s="253"/>
      <c r="P58" s="305"/>
      <c r="Q58" s="214"/>
      <c r="R58" s="221"/>
      <c r="S58" s="221"/>
      <c r="T58" s="221"/>
      <c r="U58" s="221"/>
    </row>
    <row r="59" spans="1:21" s="222" customFormat="1" x14ac:dyDescent="0.25">
      <c r="A59" s="214"/>
      <c r="B59" s="254"/>
      <c r="C59" s="254"/>
      <c r="D59" s="254"/>
      <c r="E59" s="254"/>
      <c r="F59" s="254"/>
      <c r="G59" s="254"/>
      <c r="H59" s="254"/>
      <c r="I59" s="254"/>
      <c r="J59" s="254"/>
      <c r="K59" s="254"/>
      <c r="L59" s="254"/>
      <c r="M59" s="254"/>
      <c r="N59" s="254"/>
      <c r="O59" s="254"/>
      <c r="P59" s="254"/>
      <c r="Q59" s="218"/>
      <c r="R59" s="221"/>
      <c r="S59" s="221"/>
      <c r="T59" s="221"/>
      <c r="U59" s="221"/>
    </row>
    <row r="60" spans="1:21" x14ac:dyDescent="0.25">
      <c r="A60" s="16"/>
      <c r="B60" s="88"/>
      <c r="C60" s="89"/>
      <c r="D60" s="13"/>
      <c r="E60" s="5"/>
      <c r="F60" s="5"/>
      <c r="G60" s="4"/>
      <c r="H60" s="4"/>
      <c r="I60" s="4"/>
      <c r="J60" s="137"/>
      <c r="K60" s="137"/>
      <c r="L60" s="137"/>
      <c r="M60" s="137"/>
      <c r="N60" s="137"/>
      <c r="O60" s="137"/>
      <c r="P60" s="137"/>
      <c r="Q60" s="5"/>
      <c r="R60" s="7"/>
      <c r="S60" s="7"/>
      <c r="T60" s="7"/>
      <c r="U60" s="7"/>
    </row>
    <row r="61" spans="1:21" x14ac:dyDescent="0.25">
      <c r="A61" s="7"/>
      <c r="B61" s="88"/>
      <c r="C61" s="89"/>
      <c r="D61" s="13"/>
      <c r="E61" s="86"/>
      <c r="F61" s="21"/>
      <c r="G61" s="4"/>
      <c r="H61" s="4"/>
      <c r="I61" s="4"/>
      <c r="J61" s="5"/>
      <c r="K61" s="5"/>
      <c r="L61" s="91"/>
      <c r="M61" s="54"/>
      <c r="N61" s="92"/>
      <c r="O61" s="4"/>
      <c r="P61" s="93"/>
      <c r="Q61" s="92"/>
      <c r="R61" s="7"/>
      <c r="S61" s="7"/>
      <c r="T61" s="7"/>
      <c r="U61" s="7"/>
    </row>
    <row r="62" spans="1:21" x14ac:dyDescent="0.25">
      <c r="A62" s="7"/>
      <c r="B62" s="88"/>
      <c r="C62" s="88"/>
      <c r="D62" s="13"/>
      <c r="E62" s="13"/>
      <c r="F62" s="4"/>
      <c r="G62" s="4"/>
      <c r="H62" s="4"/>
      <c r="I62" s="4"/>
      <c r="J62" s="4"/>
      <c r="K62" s="4"/>
      <c r="L62" s="4"/>
      <c r="M62" s="4"/>
      <c r="N62" s="92"/>
      <c r="O62" s="92"/>
      <c r="P62" s="92"/>
      <c r="Q62" s="92"/>
      <c r="R62" s="7"/>
      <c r="S62" s="7"/>
      <c r="T62" s="7"/>
      <c r="U62" s="7"/>
    </row>
    <row r="63" spans="1:21" x14ac:dyDescent="0.25">
      <c r="A63" s="7"/>
      <c r="B63" s="88"/>
      <c r="C63" s="89"/>
      <c r="D63" s="13"/>
      <c r="E63" s="13"/>
      <c r="F63" s="24"/>
      <c r="G63" s="4"/>
      <c r="H63" s="4"/>
      <c r="I63" s="4"/>
      <c r="J63" s="24"/>
      <c r="K63" s="24"/>
      <c r="L63" s="24"/>
      <c r="M63" s="24"/>
      <c r="N63" s="24"/>
      <c r="O63" s="4"/>
      <c r="P63" s="4"/>
      <c r="Q63" s="4"/>
      <c r="R63" s="7"/>
      <c r="S63" s="7"/>
      <c r="T63" s="7"/>
      <c r="U63" s="7"/>
    </row>
    <row r="64" spans="1:21" x14ac:dyDescent="0.25">
      <c r="A64" s="7"/>
      <c r="B64" s="87"/>
      <c r="C64" s="88"/>
      <c r="D64" s="13"/>
      <c r="E64" s="13"/>
      <c r="F64" s="24"/>
      <c r="G64" s="7"/>
      <c r="H64" s="7"/>
      <c r="I64" s="7"/>
      <c r="J64" s="24"/>
      <c r="K64" s="24"/>
      <c r="L64" s="24"/>
      <c r="M64" s="24"/>
      <c r="N64" s="24"/>
      <c r="O64" s="5"/>
      <c r="P64" s="5"/>
      <c r="Q64" s="5"/>
      <c r="R64" s="7"/>
      <c r="S64" s="7"/>
      <c r="T64" s="7"/>
      <c r="U64" s="7"/>
    </row>
    <row r="65" spans="1:21" x14ac:dyDescent="0.25">
      <c r="A65" s="7"/>
      <c r="B65" s="87"/>
      <c r="C65" s="88"/>
      <c r="D65" s="13"/>
      <c r="E65" s="13"/>
      <c r="F65" s="24"/>
      <c r="G65" s="7"/>
      <c r="H65" s="7"/>
      <c r="I65" s="7"/>
      <c r="J65" s="24"/>
      <c r="K65" s="24"/>
      <c r="L65" s="24"/>
      <c r="M65" s="24"/>
      <c r="N65" s="24"/>
      <c r="O65" s="21"/>
      <c r="P65" s="21"/>
      <c r="Q65" s="21"/>
      <c r="R65" s="7"/>
      <c r="S65" s="7"/>
      <c r="T65" s="7"/>
      <c r="U65" s="7"/>
    </row>
    <row r="66" spans="1:21" x14ac:dyDescent="0.25">
      <c r="A66" s="7"/>
      <c r="B66" s="87"/>
      <c r="C66" s="88"/>
      <c r="D66" s="13"/>
      <c r="E66" s="13"/>
      <c r="F66" s="94"/>
      <c r="G66" s="7"/>
      <c r="H66" s="7"/>
      <c r="I66" s="7"/>
      <c r="J66" s="94"/>
      <c r="K66" s="94"/>
      <c r="L66" s="94"/>
      <c r="M66" s="94"/>
      <c r="N66" s="94"/>
      <c r="O66" s="5"/>
      <c r="P66" s="5"/>
      <c r="Q66" s="5"/>
      <c r="R66" s="7"/>
      <c r="S66" s="7"/>
      <c r="T66" s="7"/>
      <c r="U66" s="7"/>
    </row>
    <row r="67" spans="1:21" x14ac:dyDescent="0.25">
      <c r="A67" s="7"/>
      <c r="B67" s="87"/>
      <c r="C67" s="88"/>
      <c r="D67" s="13"/>
      <c r="E67" s="13"/>
      <c r="F67" s="78"/>
      <c r="G67" s="7"/>
      <c r="H67" s="7"/>
      <c r="I67" s="7"/>
      <c r="J67" s="21"/>
      <c r="K67" s="21"/>
      <c r="L67" s="21"/>
      <c r="M67" s="21"/>
      <c r="N67" s="21"/>
      <c r="O67" s="21"/>
      <c r="P67" s="21"/>
      <c r="Q67" s="21"/>
      <c r="R67" s="7"/>
      <c r="S67" s="7"/>
      <c r="T67" s="7"/>
      <c r="U67" s="7"/>
    </row>
    <row r="68" spans="1:21" x14ac:dyDescent="0.25">
      <c r="A68" s="7"/>
      <c r="B68" s="87"/>
      <c r="C68" s="88"/>
      <c r="D68" s="13"/>
      <c r="E68" s="13"/>
      <c r="F68" s="5"/>
      <c r="G68" s="7"/>
      <c r="H68" s="7"/>
      <c r="I68" s="7"/>
      <c r="J68" s="5"/>
      <c r="K68" s="5"/>
      <c r="L68" s="5"/>
      <c r="M68" s="5"/>
      <c r="N68" s="5"/>
      <c r="O68" s="5"/>
      <c r="P68" s="5"/>
      <c r="Q68" s="5"/>
      <c r="R68" s="7"/>
      <c r="S68" s="7"/>
      <c r="T68" s="7"/>
      <c r="U68" s="7"/>
    </row>
    <row r="69" spans="1:21" x14ac:dyDescent="0.25">
      <c r="A69" s="7"/>
      <c r="B69" s="95"/>
      <c r="C69" s="13"/>
      <c r="D69" s="96"/>
      <c r="E69" s="13"/>
      <c r="F69" s="79"/>
      <c r="G69" s="7"/>
      <c r="H69" s="7"/>
      <c r="I69" s="7"/>
      <c r="J69" s="79"/>
      <c r="K69" s="92"/>
      <c r="L69" s="92"/>
      <c r="M69" s="92"/>
      <c r="N69" s="92"/>
      <c r="O69" s="92"/>
      <c r="P69" s="92"/>
      <c r="Q69" s="92"/>
      <c r="R69" s="7"/>
      <c r="S69" s="7"/>
      <c r="T69" s="7"/>
      <c r="U69" s="7"/>
    </row>
    <row r="70" spans="1:21" x14ac:dyDescent="0.25">
      <c r="A70" s="7"/>
      <c r="B70" s="95"/>
      <c r="C70" s="13"/>
      <c r="D70" s="96"/>
      <c r="E70" s="13"/>
      <c r="F70" s="90"/>
      <c r="G70" s="7"/>
      <c r="H70" s="7"/>
      <c r="I70" s="7"/>
      <c r="J70" s="90"/>
      <c r="K70" s="92"/>
      <c r="L70" s="92"/>
      <c r="M70" s="92"/>
      <c r="N70" s="92"/>
      <c r="O70" s="92"/>
      <c r="P70" s="92"/>
      <c r="Q70" s="92"/>
      <c r="R70" s="7"/>
      <c r="S70" s="7"/>
      <c r="T70" s="7"/>
      <c r="U70" s="7"/>
    </row>
    <row r="71" spans="1:21" x14ac:dyDescent="0.25">
      <c r="A71" s="7"/>
      <c r="B71" s="7"/>
      <c r="C71" s="7"/>
      <c r="D71" s="7"/>
      <c r="E71" s="7"/>
      <c r="F71" s="7"/>
      <c r="G71" s="7"/>
      <c r="H71" s="7"/>
      <c r="I71" s="7"/>
      <c r="J71" s="7"/>
      <c r="K71" s="7"/>
      <c r="L71" s="7"/>
      <c r="M71" s="7"/>
      <c r="N71" s="7"/>
      <c r="O71" s="7"/>
      <c r="P71" s="7"/>
      <c r="Q71" s="4"/>
      <c r="R71" s="7"/>
      <c r="S71" s="7"/>
      <c r="T71" s="7"/>
      <c r="U71" s="7"/>
    </row>
    <row r="72" spans="1:21" x14ac:dyDescent="0.25">
      <c r="A72" s="7"/>
      <c r="B72" s="7"/>
      <c r="C72" s="7"/>
      <c r="D72" s="7"/>
      <c r="E72" s="7"/>
      <c r="F72" s="7"/>
      <c r="G72" s="7"/>
      <c r="H72" s="7"/>
      <c r="I72" s="7"/>
      <c r="J72" s="7"/>
      <c r="K72" s="7"/>
      <c r="L72" s="7"/>
      <c r="M72" s="7"/>
      <c r="N72" s="7"/>
      <c r="O72" s="7"/>
      <c r="P72" s="7"/>
      <c r="Q72" s="4"/>
      <c r="R72" s="7"/>
      <c r="S72" s="7"/>
      <c r="T72" s="7"/>
      <c r="U72" s="7"/>
    </row>
    <row r="73" spans="1:21" x14ac:dyDescent="0.25">
      <c r="A73" s="7"/>
      <c r="B73" s="7"/>
      <c r="C73" s="7"/>
      <c r="D73" s="7"/>
      <c r="E73" s="7"/>
      <c r="F73" s="7"/>
      <c r="G73" s="7"/>
      <c r="H73" s="7"/>
      <c r="I73" s="7"/>
      <c r="J73" s="7"/>
      <c r="K73" s="7"/>
      <c r="L73" s="7"/>
      <c r="M73" s="7"/>
      <c r="N73" s="7"/>
      <c r="O73" s="7"/>
      <c r="P73" s="7"/>
      <c r="Q73" s="4"/>
      <c r="R73" s="7"/>
      <c r="S73" s="7"/>
      <c r="T73" s="7"/>
      <c r="U73" s="7"/>
    </row>
    <row r="74" spans="1:21" x14ac:dyDescent="0.25">
      <c r="A74" s="7"/>
      <c r="B74" s="7"/>
      <c r="C74" s="7"/>
      <c r="D74" s="7"/>
      <c r="E74" s="7"/>
      <c r="F74" s="7"/>
      <c r="G74" s="7"/>
      <c r="H74" s="7"/>
      <c r="I74" s="7"/>
      <c r="J74" s="7"/>
      <c r="K74" s="7"/>
      <c r="L74" s="7"/>
      <c r="M74" s="7"/>
      <c r="N74" s="7"/>
      <c r="O74" s="7"/>
      <c r="P74" s="7"/>
      <c r="Q74" s="4"/>
      <c r="R74" s="7"/>
      <c r="S74" s="7"/>
      <c r="T74" s="7"/>
      <c r="U74" s="7"/>
    </row>
    <row r="75" spans="1:21" x14ac:dyDescent="0.25">
      <c r="A75" s="7"/>
      <c r="B75" s="7"/>
      <c r="C75" s="7"/>
      <c r="D75" s="7"/>
      <c r="E75" s="7"/>
      <c r="F75" s="7"/>
      <c r="G75" s="7"/>
      <c r="H75" s="7"/>
      <c r="I75" s="7"/>
      <c r="J75" s="7"/>
      <c r="K75" s="7"/>
      <c r="L75" s="7"/>
      <c r="M75" s="7"/>
      <c r="N75" s="7"/>
      <c r="O75" s="7"/>
      <c r="P75" s="7"/>
      <c r="Q75" s="4"/>
      <c r="R75" s="7"/>
      <c r="S75" s="7"/>
      <c r="T75" s="7"/>
      <c r="U75" s="7"/>
    </row>
    <row r="76" spans="1:21" x14ac:dyDescent="0.25">
      <c r="A76" s="7"/>
      <c r="B76" s="7"/>
      <c r="C76" s="7"/>
      <c r="D76" s="7"/>
      <c r="E76" s="7"/>
      <c r="F76" s="7"/>
      <c r="G76" s="7"/>
      <c r="H76" s="7"/>
      <c r="I76" s="7"/>
      <c r="J76" s="7"/>
      <c r="K76" s="7"/>
      <c r="L76" s="7"/>
      <c r="M76" s="7"/>
      <c r="N76" s="7"/>
      <c r="O76" s="7"/>
      <c r="P76" s="7"/>
      <c r="Q76" s="4"/>
      <c r="R76" s="7"/>
      <c r="S76" s="7"/>
      <c r="T76" s="7"/>
      <c r="U76" s="7"/>
    </row>
    <row r="77" spans="1:21" x14ac:dyDescent="0.25">
      <c r="A77" s="7"/>
      <c r="B77" s="7"/>
      <c r="C77" s="7"/>
      <c r="D77" s="7"/>
      <c r="E77" s="7"/>
      <c r="F77" s="7"/>
      <c r="G77" s="7"/>
      <c r="H77" s="7"/>
      <c r="I77" s="7"/>
      <c r="J77" s="7"/>
      <c r="K77" s="7"/>
      <c r="L77" s="7"/>
      <c r="M77" s="7"/>
      <c r="N77" s="7"/>
      <c r="O77" s="7"/>
      <c r="P77" s="7"/>
      <c r="Q77" s="4"/>
      <c r="R77" s="7"/>
      <c r="S77" s="7"/>
      <c r="T77" s="7"/>
      <c r="U77" s="7"/>
    </row>
    <row r="78" spans="1:21" x14ac:dyDescent="0.25">
      <c r="A78" s="7"/>
      <c r="B78" s="7"/>
      <c r="C78" s="7"/>
      <c r="D78" s="7"/>
      <c r="E78" s="7"/>
      <c r="F78" s="7"/>
      <c r="G78" s="7"/>
      <c r="H78" s="7"/>
      <c r="I78" s="7"/>
      <c r="J78" s="7"/>
      <c r="K78" s="7"/>
      <c r="L78" s="7"/>
      <c r="M78" s="7"/>
      <c r="N78" s="7"/>
      <c r="O78" s="7"/>
      <c r="P78" s="7"/>
      <c r="Q78" s="4"/>
      <c r="R78" s="7"/>
      <c r="S78" s="7"/>
      <c r="T78" s="7"/>
      <c r="U78" s="7"/>
    </row>
    <row r="79" spans="1:21" x14ac:dyDescent="0.25">
      <c r="Q79" s="4"/>
    </row>
    <row r="80" spans="1:21" x14ac:dyDescent="0.25">
      <c r="Q80" s="4"/>
    </row>
    <row r="81" spans="17:17" x14ac:dyDescent="0.25">
      <c r="Q81" s="4"/>
    </row>
    <row r="82" spans="17:17" x14ac:dyDescent="0.25">
      <c r="Q82" s="4"/>
    </row>
    <row r="83" spans="17:17" x14ac:dyDescent="0.25">
      <c r="Q83" s="4"/>
    </row>
    <row r="84" spans="17:17" x14ac:dyDescent="0.25">
      <c r="Q84" s="4"/>
    </row>
  </sheetData>
  <sheetProtection sheet="1" objects="1" scenarios="1"/>
  <mergeCells count="26">
    <mergeCell ref="B31:E32"/>
    <mergeCell ref="N45:P48"/>
    <mergeCell ref="B47:G49"/>
    <mergeCell ref="B27:E28"/>
    <mergeCell ref="G27:K27"/>
    <mergeCell ref="N51:P54"/>
    <mergeCell ref="J42:O43"/>
    <mergeCell ref="B51:F51"/>
    <mergeCell ref="B38:F38"/>
    <mergeCell ref="B54:D57"/>
    <mergeCell ref="B23:E25"/>
    <mergeCell ref="B1:P2"/>
    <mergeCell ref="D12:E12"/>
    <mergeCell ref="L14:P15"/>
    <mergeCell ref="B16:E17"/>
    <mergeCell ref="G16:J17"/>
    <mergeCell ref="L16:P17"/>
    <mergeCell ref="D8:E8"/>
    <mergeCell ref="B3:O3"/>
    <mergeCell ref="D5:E5"/>
    <mergeCell ref="D6:E6"/>
    <mergeCell ref="D7:E7"/>
    <mergeCell ref="H4:P8"/>
    <mergeCell ref="D21:E21"/>
    <mergeCell ref="N21:O21"/>
    <mergeCell ref="N24:O24"/>
  </mergeCells>
  <phoneticPr fontId="7" type="noConversion"/>
  <conditionalFormatting sqref="J32">
    <cfRule type="expression" dxfId="64" priority="5" stopIfTrue="1">
      <formula>J31=""</formula>
    </cfRule>
    <cfRule type="cellIs" dxfId="63" priority="6" stopIfTrue="1" operator="greaterThan">
      <formula>10</formula>
    </cfRule>
  </conditionalFormatting>
  <conditionalFormatting sqref="O13">
    <cfRule type="expression" dxfId="62" priority="7" stopIfTrue="1">
      <formula>$O$12=""</formula>
    </cfRule>
    <cfRule type="cellIs" dxfId="61" priority="8" stopIfTrue="1" operator="lessThan">
      <formula>$E$15</formula>
    </cfRule>
  </conditionalFormatting>
  <conditionalFormatting sqref="J26">
    <cfRule type="expression" dxfId="60" priority="9" stopIfTrue="1">
      <formula>$E$22=""</formula>
    </cfRule>
    <cfRule type="cellIs" dxfId="59" priority="10" stopIfTrue="1" operator="between">
      <formula>5</formula>
      <formula>1000000</formula>
    </cfRule>
  </conditionalFormatting>
  <conditionalFormatting sqref="N57">
    <cfRule type="expression" dxfId="58" priority="18" stopIfTrue="1">
      <formula>$L$54=""</formula>
    </cfRule>
    <cfRule type="cellIs" dxfId="57" priority="19" stopIfTrue="1" operator="greaterThanOrEqual">
      <formula>$J$35</formula>
    </cfRule>
    <cfRule type="cellIs" dxfId="56" priority="20" stopIfTrue="1" operator="greaterThanOrEqual">
      <formula>$E$26</formula>
    </cfRule>
  </conditionalFormatting>
  <conditionalFormatting sqref="G56">
    <cfRule type="containsBlanks" dxfId="55" priority="1" stopIfTrue="1">
      <formula>LEN(TRIM(G56))=0</formula>
    </cfRule>
    <cfRule type="cellIs" dxfId="54" priority="21" stopIfTrue="1" operator="greaterThanOrEqual">
      <formula>$G$54</formula>
    </cfRule>
  </conditionalFormatting>
  <pageMargins left="0.5" right="0.5" top="0.59" bottom="0.56000000000000005" header="0.4" footer="0.5"/>
  <pageSetup scale="6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69" r:id="rId4" name="Drop Down 1">
              <controlPr defaultSize="0" autoLine="0" autoPict="0">
                <anchor moveWithCells="1">
                  <from>
                    <xdr:col>3</xdr:col>
                    <xdr:colOff>0</xdr:colOff>
                    <xdr:row>21</xdr:row>
                    <xdr:rowOff>0</xdr:rowOff>
                  </from>
                  <to>
                    <xdr:col>4</xdr:col>
                    <xdr:colOff>342900</xdr:colOff>
                    <xdr:row>22</xdr:row>
                    <xdr:rowOff>22860</xdr:rowOff>
                  </to>
                </anchor>
              </controlPr>
            </control>
          </mc:Choice>
        </mc:AlternateContent>
        <mc:AlternateContent xmlns:mc="http://schemas.openxmlformats.org/markup-compatibility/2006">
          <mc:Choice Requires="x14">
            <control shapeId="7170" r:id="rId5" name="Clear Cooperator Data">
              <controlPr defaultSize="0" print="0" autoFill="0" autoPict="0" macro="[0]!ClearPressure">
                <anchor moveWithCells="1">
                  <from>
                    <xdr:col>5</xdr:col>
                    <xdr:colOff>525780</xdr:colOff>
                    <xdr:row>6</xdr:row>
                    <xdr:rowOff>30480</xdr:rowOff>
                  </from>
                  <to>
                    <xdr:col>6</xdr:col>
                    <xdr:colOff>464820</xdr:colOff>
                    <xdr:row>7</xdr:row>
                    <xdr:rowOff>83820</xdr:rowOff>
                  </to>
                </anchor>
              </controlPr>
            </control>
          </mc:Choice>
        </mc:AlternateContent>
        <mc:AlternateContent xmlns:mc="http://schemas.openxmlformats.org/markup-compatibility/2006">
          <mc:Choice Requires="x14">
            <control shapeId="7172" r:id="rId6" name="Button 4">
              <controlPr defaultSize="0" print="0" autoFill="0" autoPict="0" macro="[0]!PrintPressure">
                <anchor moveWithCells="1">
                  <from>
                    <xdr:col>5</xdr:col>
                    <xdr:colOff>464820</xdr:colOff>
                    <xdr:row>4</xdr:row>
                    <xdr:rowOff>76200</xdr:rowOff>
                  </from>
                  <to>
                    <xdr:col>6</xdr:col>
                    <xdr:colOff>495300</xdr:colOff>
                    <xdr:row>5</xdr:row>
                    <xdr:rowOff>121920</xdr:rowOff>
                  </to>
                </anchor>
              </controlPr>
            </control>
          </mc:Choice>
        </mc:AlternateContent>
        <mc:AlternateContent xmlns:mc="http://schemas.openxmlformats.org/markup-compatibility/2006">
          <mc:Choice Requires="x14">
            <control shapeId="7173" r:id="rId7" name="Drop Down 5">
              <controlPr defaultSize="0" autoLine="0" autoPict="0">
                <anchor moveWithCells="1">
                  <from>
                    <xdr:col>9</xdr:col>
                    <xdr:colOff>0</xdr:colOff>
                    <xdr:row>21</xdr:row>
                    <xdr:rowOff>0</xdr:rowOff>
                  </from>
                  <to>
                    <xdr:col>10</xdr:col>
                    <xdr:colOff>30480</xdr:colOff>
                    <xdr:row>22</xdr:row>
                    <xdr:rowOff>0</xdr:rowOff>
                  </to>
                </anchor>
              </controlPr>
            </control>
          </mc:Choice>
        </mc:AlternateContent>
        <mc:AlternateContent xmlns:mc="http://schemas.openxmlformats.org/markup-compatibility/2006">
          <mc:Choice Requires="x14">
            <control shapeId="7174" r:id="rId8" name="Drop Down 6">
              <controlPr defaultSize="0" autoLine="0" autoPict="0">
                <anchor moveWithCells="1">
                  <from>
                    <xdr:col>7</xdr:col>
                    <xdr:colOff>533400</xdr:colOff>
                    <xdr:row>20</xdr:row>
                    <xdr:rowOff>0</xdr:rowOff>
                  </from>
                  <to>
                    <xdr:col>10</xdr:col>
                    <xdr:colOff>30480</xdr:colOff>
                    <xdr:row>21</xdr:row>
                    <xdr:rowOff>7620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BI51"/>
  <sheetViews>
    <sheetView topLeftCell="A4" zoomScaleNormal="100" workbookViewId="0">
      <selection activeCell="D5" sqref="D5:E5"/>
    </sheetView>
  </sheetViews>
  <sheetFormatPr defaultRowHeight="13.2" x14ac:dyDescent="0.25"/>
  <cols>
    <col min="1" max="1" width="4.6640625" customWidth="1"/>
    <col min="4" max="4" width="19.5546875" customWidth="1"/>
    <col min="5" max="5" width="14.33203125" customWidth="1"/>
    <col min="6" max="6" width="12.109375" customWidth="1"/>
    <col min="7" max="7" width="14.6640625" customWidth="1"/>
    <col min="9" max="9" width="9.88671875" customWidth="1"/>
    <col min="10" max="10" width="9" customWidth="1"/>
    <col min="11" max="11" width="19.5546875" customWidth="1"/>
    <col min="13" max="13" width="11.6640625" customWidth="1"/>
    <col min="14" max="14" width="12.5546875" customWidth="1"/>
    <col min="16" max="16" width="13.88671875" customWidth="1"/>
    <col min="61" max="61" width="18.6640625" customWidth="1"/>
  </cols>
  <sheetData>
    <row r="1" spans="1:61" ht="11.25" customHeight="1" x14ac:dyDescent="0.4">
      <c r="A1" s="31"/>
      <c r="B1" s="515" t="s">
        <v>262</v>
      </c>
      <c r="C1" s="516"/>
      <c r="D1" s="516"/>
      <c r="E1" s="516"/>
      <c r="F1" s="516"/>
      <c r="G1" s="516"/>
      <c r="H1" s="516"/>
      <c r="I1" s="516"/>
      <c r="J1" s="516"/>
      <c r="K1" s="516"/>
      <c r="L1" s="516"/>
      <c r="M1" s="516"/>
      <c r="N1" s="516"/>
      <c r="O1" s="516"/>
      <c r="P1" s="517"/>
      <c r="Q1" s="16"/>
      <c r="R1" s="7"/>
      <c r="S1" s="7"/>
      <c r="T1" s="7"/>
      <c r="U1" s="7"/>
    </row>
    <row r="2" spans="1:61" ht="13.5" customHeight="1" x14ac:dyDescent="0.4">
      <c r="A2" s="31"/>
      <c r="B2" s="518"/>
      <c r="C2" s="519"/>
      <c r="D2" s="519"/>
      <c r="E2" s="519"/>
      <c r="F2" s="519"/>
      <c r="G2" s="519"/>
      <c r="H2" s="519"/>
      <c r="I2" s="519"/>
      <c r="J2" s="519"/>
      <c r="K2" s="519"/>
      <c r="L2" s="519"/>
      <c r="M2" s="519"/>
      <c r="N2" s="519"/>
      <c r="O2" s="519"/>
      <c r="P2" s="520"/>
      <c r="Q2" s="16"/>
      <c r="R2" s="7"/>
      <c r="S2" s="7"/>
      <c r="T2" s="7"/>
      <c r="U2" s="7"/>
    </row>
    <row r="3" spans="1:61" x14ac:dyDescent="0.25">
      <c r="A3" s="4"/>
      <c r="B3" s="521"/>
      <c r="C3" s="521"/>
      <c r="D3" s="521"/>
      <c r="E3" s="521"/>
      <c r="F3" s="521"/>
      <c r="G3" s="521"/>
      <c r="H3" s="521"/>
      <c r="I3" s="521"/>
      <c r="J3" s="521"/>
      <c r="K3" s="521"/>
      <c r="L3" s="521"/>
      <c r="M3" s="521"/>
      <c r="N3" s="521"/>
      <c r="O3" s="521"/>
      <c r="P3" s="4"/>
      <c r="Q3" s="4"/>
      <c r="R3" s="7"/>
      <c r="S3" s="7"/>
      <c r="T3" s="7"/>
      <c r="U3" s="7"/>
    </row>
    <row r="4" spans="1:61" ht="17.399999999999999" x14ac:dyDescent="0.25">
      <c r="A4" s="4"/>
      <c r="B4" s="129" t="s">
        <v>73</v>
      </c>
      <c r="C4" s="130"/>
      <c r="D4" s="130"/>
      <c r="E4" s="130"/>
      <c r="F4" s="124"/>
      <c r="G4" s="131" t="s">
        <v>124</v>
      </c>
      <c r="H4" s="522"/>
      <c r="I4" s="494"/>
      <c r="J4" s="494"/>
      <c r="K4" s="494"/>
      <c r="L4" s="494"/>
      <c r="M4" s="494"/>
      <c r="N4" s="494"/>
      <c r="O4" s="494"/>
      <c r="P4" s="495"/>
      <c r="Q4" s="133"/>
      <c r="R4" s="150"/>
      <c r="S4" s="150"/>
      <c r="T4" s="150"/>
      <c r="U4" s="150"/>
      <c r="V4" s="75"/>
      <c r="W4" s="75"/>
      <c r="X4" s="75"/>
    </row>
    <row r="5" spans="1:61" x14ac:dyDescent="0.25">
      <c r="A5" s="4"/>
      <c r="B5" s="132" t="s">
        <v>13</v>
      </c>
      <c r="C5" s="26"/>
      <c r="D5" s="513"/>
      <c r="E5" s="523"/>
      <c r="F5" s="53"/>
      <c r="G5" s="5" t="s">
        <v>117</v>
      </c>
      <c r="H5" s="496"/>
      <c r="I5" s="497"/>
      <c r="J5" s="497"/>
      <c r="K5" s="497"/>
      <c r="L5" s="497"/>
      <c r="M5" s="497"/>
      <c r="N5" s="497"/>
      <c r="O5" s="497"/>
      <c r="P5" s="498"/>
      <c r="Q5" s="16"/>
      <c r="R5" s="7"/>
      <c r="S5" s="7"/>
      <c r="T5" s="7"/>
      <c r="U5" s="7"/>
    </row>
    <row r="6" spans="1:61" x14ac:dyDescent="0.25">
      <c r="A6" s="4"/>
      <c r="B6" s="133" t="s">
        <v>45</v>
      </c>
      <c r="C6" s="25"/>
      <c r="D6" s="513"/>
      <c r="E6" s="523"/>
      <c r="F6" s="19"/>
      <c r="G6" s="5"/>
      <c r="H6" s="496"/>
      <c r="I6" s="497"/>
      <c r="J6" s="497"/>
      <c r="K6" s="497"/>
      <c r="L6" s="497"/>
      <c r="M6" s="497"/>
      <c r="N6" s="497"/>
      <c r="O6" s="497"/>
      <c r="P6" s="498"/>
      <c r="Q6" s="133"/>
      <c r="R6" s="151"/>
      <c r="S6" s="150"/>
      <c r="T6" s="150"/>
      <c r="U6" s="150"/>
      <c r="V6" s="75"/>
      <c r="W6" s="75"/>
      <c r="X6" s="75"/>
    </row>
    <row r="7" spans="1:61" x14ac:dyDescent="0.25">
      <c r="A7" s="4"/>
      <c r="B7" s="132" t="s">
        <v>4</v>
      </c>
      <c r="C7" s="26"/>
      <c r="D7" s="524"/>
      <c r="E7" s="525"/>
      <c r="F7" s="19"/>
      <c r="G7" s="5"/>
      <c r="H7" s="496"/>
      <c r="I7" s="497"/>
      <c r="J7" s="497"/>
      <c r="K7" s="497"/>
      <c r="L7" s="497"/>
      <c r="M7" s="497"/>
      <c r="N7" s="497"/>
      <c r="O7" s="497"/>
      <c r="P7" s="498"/>
      <c r="Q7" s="16"/>
      <c r="R7" s="7"/>
      <c r="S7" s="7"/>
      <c r="T7" s="7"/>
      <c r="U7" s="7"/>
    </row>
    <row r="8" spans="1:61" x14ac:dyDescent="0.25">
      <c r="A8" s="4"/>
      <c r="B8" s="134" t="s">
        <v>3</v>
      </c>
      <c r="C8" s="135"/>
      <c r="D8" s="513"/>
      <c r="E8" s="523"/>
      <c r="F8" s="136"/>
      <c r="G8" s="17"/>
      <c r="H8" s="499"/>
      <c r="I8" s="500"/>
      <c r="J8" s="500"/>
      <c r="K8" s="500"/>
      <c r="L8" s="500"/>
      <c r="M8" s="500"/>
      <c r="N8" s="500"/>
      <c r="O8" s="500"/>
      <c r="P8" s="501"/>
      <c r="Q8" s="133"/>
      <c r="R8" s="150"/>
      <c r="S8" s="150"/>
      <c r="T8" s="150"/>
      <c r="U8" s="150"/>
      <c r="V8" s="75"/>
      <c r="W8" s="75"/>
      <c r="X8" s="75"/>
    </row>
    <row r="9" spans="1:61" x14ac:dyDescent="0.25">
      <c r="A9" s="4"/>
      <c r="B9" s="4"/>
      <c r="C9" s="4"/>
      <c r="D9" s="4"/>
      <c r="E9" s="4"/>
      <c r="F9" s="4"/>
      <c r="G9" s="4"/>
      <c r="H9" s="4"/>
      <c r="I9" s="4"/>
      <c r="J9" s="4"/>
      <c r="K9" s="4"/>
      <c r="L9" s="4"/>
      <c r="M9" s="4"/>
      <c r="N9" s="4"/>
      <c r="O9" s="4"/>
      <c r="P9" s="4"/>
      <c r="Q9" s="4"/>
      <c r="R9" s="7"/>
      <c r="S9" s="7"/>
      <c r="T9" s="7"/>
      <c r="U9" s="7"/>
    </row>
    <row r="10" spans="1:61" ht="17.399999999999999" x14ac:dyDescent="0.25">
      <c r="A10" s="4"/>
      <c r="B10" s="123" t="s">
        <v>74</v>
      </c>
      <c r="C10" s="124"/>
      <c r="D10" s="124"/>
      <c r="E10" s="124"/>
      <c r="F10" s="124"/>
      <c r="G10" s="124"/>
      <c r="H10" s="124"/>
      <c r="I10" s="124"/>
      <c r="J10" s="124"/>
      <c r="K10" s="124"/>
      <c r="L10" s="124"/>
      <c r="M10" s="125"/>
      <c r="N10" s="125"/>
      <c r="O10" s="62"/>
      <c r="P10" s="110"/>
      <c r="Q10" s="16"/>
      <c r="R10" s="7"/>
      <c r="S10" s="7"/>
      <c r="T10" s="7"/>
      <c r="U10" s="7"/>
    </row>
    <row r="11" spans="1:61" x14ac:dyDescent="0.25">
      <c r="A11" s="4"/>
      <c r="B11" s="126" t="s">
        <v>70</v>
      </c>
      <c r="C11" s="19"/>
      <c r="D11" s="19"/>
      <c r="E11" s="19"/>
      <c r="F11" s="19"/>
      <c r="G11" s="28" t="s">
        <v>71</v>
      </c>
      <c r="H11" s="19"/>
      <c r="I11" s="19"/>
      <c r="J11" s="19"/>
      <c r="K11" s="163"/>
      <c r="L11" s="28"/>
      <c r="M11" s="19"/>
      <c r="N11" s="5"/>
      <c r="O11" s="5"/>
      <c r="P11" s="14" t="s">
        <v>128</v>
      </c>
      <c r="Q11" s="16"/>
      <c r="R11" s="152"/>
      <c r="S11" s="152"/>
      <c r="T11" s="7"/>
      <c r="U11" s="7"/>
    </row>
    <row r="12" spans="1:61" x14ac:dyDescent="0.25">
      <c r="A12" s="4"/>
      <c r="B12" s="127" t="s">
        <v>60</v>
      </c>
      <c r="C12" s="163"/>
      <c r="D12" s="513"/>
      <c r="E12" s="514"/>
      <c r="F12" s="163"/>
      <c r="G12" s="21" t="s">
        <v>190</v>
      </c>
      <c r="H12" s="5"/>
      <c r="I12" s="4"/>
      <c r="J12" s="207"/>
      <c r="K12" s="5" t="s">
        <v>65</v>
      </c>
      <c r="L12" s="19"/>
      <c r="M12" s="19"/>
      <c r="N12" s="19"/>
      <c r="O12" s="19"/>
      <c r="P12" s="140"/>
      <c r="Q12" s="16"/>
      <c r="R12" s="7"/>
      <c r="S12" s="7"/>
      <c r="T12" s="7"/>
      <c r="U12" s="7"/>
    </row>
    <row r="13" spans="1:61" x14ac:dyDescent="0.25">
      <c r="A13" s="4"/>
      <c r="B13" s="162" t="s">
        <v>56</v>
      </c>
      <c r="C13" s="4"/>
      <c r="D13" s="52"/>
      <c r="E13" s="210"/>
      <c r="F13" s="4"/>
      <c r="G13" s="192" t="s">
        <v>215</v>
      </c>
      <c r="H13" s="5"/>
      <c r="I13" s="4"/>
      <c r="J13" s="207"/>
      <c r="K13" s="5" t="s">
        <v>191</v>
      </c>
      <c r="L13" s="19"/>
      <c r="M13" s="19"/>
      <c r="N13" s="19"/>
      <c r="O13" s="19"/>
      <c r="P13" s="15"/>
      <c r="Q13" s="107"/>
      <c r="R13" s="152"/>
      <c r="S13" s="152"/>
      <c r="T13" s="7"/>
      <c r="U13" s="7"/>
    </row>
    <row r="14" spans="1:61" s="222" customFormat="1" x14ac:dyDescent="0.25">
      <c r="A14" s="214"/>
      <c r="B14" s="215" t="s">
        <v>57</v>
      </c>
      <c r="C14" s="214"/>
      <c r="D14" s="223"/>
      <c r="E14" s="224"/>
      <c r="F14" s="214" t="s">
        <v>58</v>
      </c>
      <c r="G14" s="218" t="s">
        <v>63</v>
      </c>
      <c r="H14" s="214"/>
      <c r="I14" s="214"/>
      <c r="J14" s="225" t="str">
        <f>IF(J13="","",E15/J12/J13)</f>
        <v/>
      </c>
      <c r="K14" s="214" t="s">
        <v>44</v>
      </c>
      <c r="L14" s="526"/>
      <c r="M14" s="527"/>
      <c r="N14" s="527"/>
      <c r="O14" s="527"/>
      <c r="P14" s="528"/>
      <c r="Q14" s="220"/>
      <c r="R14" s="221"/>
      <c r="S14" s="221"/>
      <c r="T14" s="221"/>
      <c r="U14" s="221"/>
    </row>
    <row r="15" spans="1:61" x14ac:dyDescent="0.25">
      <c r="A15" s="4"/>
      <c r="B15" s="41" t="s">
        <v>55</v>
      </c>
      <c r="C15" s="42"/>
      <c r="D15" s="43"/>
      <c r="E15" s="64" t="str">
        <f>IF(E14="","",E13*E14)</f>
        <v/>
      </c>
      <c r="F15" s="4" t="s">
        <v>58</v>
      </c>
      <c r="G15" s="5" t="s">
        <v>64</v>
      </c>
      <c r="H15" s="5"/>
      <c r="I15" s="4"/>
      <c r="J15" s="209"/>
      <c r="K15" s="5" t="s">
        <v>44</v>
      </c>
      <c r="L15" s="527"/>
      <c r="M15" s="527"/>
      <c r="N15" s="527"/>
      <c r="O15" s="527"/>
      <c r="P15" s="528"/>
      <c r="Q15" s="107"/>
      <c r="R15" s="7"/>
      <c r="S15" s="7"/>
      <c r="T15" s="7"/>
      <c r="U15" s="7"/>
      <c r="AR15" s="188"/>
      <c r="AS15" s="188"/>
      <c r="AT15" s="188"/>
      <c r="AU15" s="188"/>
      <c r="AV15" s="188"/>
      <c r="AW15" s="188"/>
      <c r="AX15" s="188"/>
      <c r="AY15" s="188"/>
      <c r="AZ15" s="188"/>
      <c r="BA15" s="188"/>
      <c r="BB15" s="188"/>
      <c r="BC15" s="188"/>
      <c r="BD15" s="1">
        <v>1</v>
      </c>
      <c r="BE15" s="1">
        <v>2</v>
      </c>
      <c r="BF15" s="1">
        <v>3</v>
      </c>
      <c r="BG15" s="1">
        <v>4</v>
      </c>
      <c r="BH15" s="1">
        <v>5</v>
      </c>
      <c r="BI15" s="1">
        <v>6</v>
      </c>
    </row>
    <row r="16" spans="1:61" x14ac:dyDescent="0.25">
      <c r="A16" s="4"/>
      <c r="B16" s="529" t="s">
        <v>59</v>
      </c>
      <c r="C16" s="530"/>
      <c r="D16" s="530"/>
      <c r="E16" s="530"/>
      <c r="F16" s="4"/>
      <c r="G16" s="530" t="s">
        <v>79</v>
      </c>
      <c r="H16" s="530"/>
      <c r="I16" s="530"/>
      <c r="J16" s="530"/>
      <c r="K16" s="4"/>
      <c r="L16" s="526"/>
      <c r="M16" s="527"/>
      <c r="N16" s="527"/>
      <c r="O16" s="527"/>
      <c r="P16" s="528"/>
      <c r="Q16" s="107"/>
      <c r="R16" s="153"/>
      <c r="S16" s="153"/>
      <c r="T16" s="153"/>
      <c r="U16" s="153"/>
      <c r="V16" s="142"/>
      <c r="W16" s="142"/>
      <c r="X16" s="142"/>
      <c r="Y16" s="142"/>
      <c r="Z16" s="142"/>
      <c r="AR16" s="188"/>
      <c r="AS16" s="188"/>
      <c r="AT16" s="188"/>
      <c r="AU16" s="188"/>
      <c r="AV16" s="188"/>
      <c r="AW16" s="188"/>
      <c r="AX16" s="188"/>
      <c r="AY16" s="188"/>
      <c r="AZ16" s="188"/>
      <c r="BA16" s="196" t="s">
        <v>203</v>
      </c>
      <c r="BB16" s="188"/>
      <c r="BC16" s="188"/>
      <c r="BD16" s="188"/>
      <c r="BE16" s="188"/>
      <c r="BF16" s="198" t="s">
        <v>204</v>
      </c>
      <c r="BG16" s="188"/>
      <c r="BH16" s="188"/>
    </row>
    <row r="17" spans="1:61" x14ac:dyDescent="0.25">
      <c r="A17" s="4"/>
      <c r="B17" s="531"/>
      <c r="C17" s="532"/>
      <c r="D17" s="532"/>
      <c r="E17" s="532"/>
      <c r="F17" s="17"/>
      <c r="G17" s="532"/>
      <c r="H17" s="532"/>
      <c r="I17" s="532"/>
      <c r="J17" s="532"/>
      <c r="K17" s="128"/>
      <c r="L17" s="533"/>
      <c r="M17" s="533"/>
      <c r="N17" s="533"/>
      <c r="O17" s="533"/>
      <c r="P17" s="534"/>
      <c r="Q17" s="107"/>
      <c r="R17" s="153"/>
      <c r="S17" s="153"/>
      <c r="T17" s="153"/>
      <c r="U17" s="153"/>
      <c r="V17" s="142"/>
      <c r="W17" s="143"/>
      <c r="X17" s="144"/>
      <c r="Y17" s="143"/>
      <c r="Z17" s="142"/>
      <c r="AR17" s="153"/>
      <c r="AS17" s="153" t="s">
        <v>129</v>
      </c>
      <c r="AT17" s="153"/>
      <c r="AU17" s="153"/>
      <c r="AV17" s="142"/>
      <c r="AW17" s="75" t="s">
        <v>195</v>
      </c>
      <c r="AX17" s="188"/>
      <c r="AY17" s="188"/>
      <c r="AZ17" s="75" t="s">
        <v>206</v>
      </c>
      <c r="BA17" s="188"/>
      <c r="BB17" s="188"/>
      <c r="BC17" s="142"/>
      <c r="BD17" s="142"/>
      <c r="BE17" s="197" t="s">
        <v>201</v>
      </c>
      <c r="BF17" s="197" t="s">
        <v>202</v>
      </c>
      <c r="BG17" s="449" t="s">
        <v>238</v>
      </c>
      <c r="BH17" s="449" t="s">
        <v>198</v>
      </c>
      <c r="BI17" s="449" t="s">
        <v>199</v>
      </c>
    </row>
    <row r="18" spans="1:61" x14ac:dyDescent="0.25">
      <c r="A18" s="4"/>
      <c r="B18" s="77"/>
      <c r="C18" s="5"/>
      <c r="D18" s="161"/>
      <c r="E18" s="5"/>
      <c r="F18" s="5"/>
      <c r="G18" s="5"/>
      <c r="H18" s="5"/>
      <c r="I18" s="161"/>
      <c r="J18" s="5"/>
      <c r="K18" s="5"/>
      <c r="L18" s="24"/>
      <c r="M18" s="24"/>
      <c r="N18" s="24"/>
      <c r="O18" s="24"/>
      <c r="P18" s="24"/>
      <c r="Q18" s="73"/>
      <c r="R18" s="153"/>
      <c r="S18" s="153"/>
      <c r="T18" s="153"/>
      <c r="U18" s="153"/>
      <c r="V18" s="142"/>
      <c r="W18" s="143"/>
      <c r="X18" s="145"/>
      <c r="Y18" s="143"/>
      <c r="Z18" s="142"/>
      <c r="AR18" s="153">
        <v>1</v>
      </c>
      <c r="AS18" s="153"/>
      <c r="AT18" s="153"/>
      <c r="AU18" s="153"/>
      <c r="AV18" s="142"/>
      <c r="AW18" s="188"/>
      <c r="AX18" s="188"/>
      <c r="AY18" s="188"/>
      <c r="AZ18" s="196" t="s">
        <v>205</v>
      </c>
      <c r="BA18" s="188"/>
      <c r="BB18" s="143"/>
      <c r="BC18" s="144" t="s">
        <v>12</v>
      </c>
      <c r="BD18" s="188"/>
      <c r="BE18" s="188"/>
      <c r="BF18" s="188"/>
      <c r="BG18" s="222"/>
      <c r="BH18" s="222"/>
      <c r="BI18" s="222"/>
    </row>
    <row r="19" spans="1:61" ht="17.399999999999999" x14ac:dyDescent="0.3">
      <c r="A19" s="4"/>
      <c r="B19" s="114" t="s">
        <v>75</v>
      </c>
      <c r="C19" s="62"/>
      <c r="D19" s="62"/>
      <c r="E19" s="115"/>
      <c r="F19" s="62"/>
      <c r="G19" s="116"/>
      <c r="H19" s="116"/>
      <c r="I19" s="117"/>
      <c r="J19" s="117"/>
      <c r="K19" s="118"/>
      <c r="L19" s="119"/>
      <c r="M19" s="119"/>
      <c r="N19" s="119"/>
      <c r="O19" s="119"/>
      <c r="P19" s="120"/>
      <c r="Q19" s="16"/>
      <c r="R19" s="153"/>
      <c r="S19" s="153"/>
      <c r="T19" s="153"/>
      <c r="U19" s="153"/>
      <c r="V19" s="142"/>
      <c r="W19" s="143"/>
      <c r="X19" s="146"/>
      <c r="Y19" s="147"/>
      <c r="Z19" s="142"/>
      <c r="AR19" s="153">
        <v>2</v>
      </c>
      <c r="AS19" s="153" t="s">
        <v>5</v>
      </c>
      <c r="AT19" s="153"/>
      <c r="AU19" s="153"/>
      <c r="AV19" s="142"/>
      <c r="AW19" s="188">
        <v>1</v>
      </c>
      <c r="AX19" s="222"/>
      <c r="AY19" s="222"/>
      <c r="AZ19" s="238"/>
      <c r="BA19" s="188"/>
      <c r="BB19" s="143">
        <v>1</v>
      </c>
      <c r="BC19" s="145"/>
      <c r="BD19" s="188"/>
      <c r="BE19" s="143" t="s">
        <v>128</v>
      </c>
      <c r="BF19" s="188"/>
      <c r="BG19" s="222"/>
      <c r="BH19" s="222"/>
      <c r="BI19" s="222"/>
    </row>
    <row r="20" spans="1:61" x14ac:dyDescent="0.25">
      <c r="A20" s="4"/>
      <c r="B20" s="121" t="s">
        <v>77</v>
      </c>
      <c r="C20" s="4"/>
      <c r="D20" s="4"/>
      <c r="E20" s="6"/>
      <c r="F20" s="4"/>
      <c r="G20" s="34" t="s">
        <v>200</v>
      </c>
      <c r="H20" s="4"/>
      <c r="I20" s="4"/>
      <c r="J20" s="4"/>
      <c r="K20" s="4"/>
      <c r="L20" s="34" t="s">
        <v>229</v>
      </c>
      <c r="M20" s="5"/>
      <c r="N20" s="5"/>
      <c r="O20" s="5"/>
      <c r="P20" s="14"/>
      <c r="Q20" s="16"/>
      <c r="R20" s="153"/>
      <c r="S20" s="153"/>
      <c r="T20" s="153"/>
      <c r="U20" s="153"/>
      <c r="V20" s="142"/>
      <c r="W20" s="145"/>
      <c r="X20" s="146"/>
      <c r="Y20" s="144"/>
      <c r="Z20" s="142"/>
      <c r="AR20" s="153">
        <v>3</v>
      </c>
      <c r="AS20" s="153" t="s">
        <v>130</v>
      </c>
      <c r="AT20" s="153"/>
      <c r="AU20" s="153"/>
      <c r="AV20" s="142"/>
      <c r="AW20" s="188">
        <v>2</v>
      </c>
      <c r="AX20" s="239" t="s">
        <v>196</v>
      </c>
      <c r="AY20" s="222"/>
      <c r="AZ20" s="238">
        <v>150</v>
      </c>
      <c r="BA20" s="188"/>
      <c r="BB20" s="143">
        <v>2</v>
      </c>
      <c r="BC20" s="146" t="s">
        <v>0</v>
      </c>
      <c r="BD20" s="188"/>
      <c r="BE20" s="147">
        <v>1.0489999999999999</v>
      </c>
      <c r="BF20" s="188">
        <v>1.0289999999999999</v>
      </c>
      <c r="BG20" s="222">
        <v>0.86299999999999999</v>
      </c>
      <c r="BH20" s="222">
        <v>1.0249999999999999</v>
      </c>
      <c r="BI20" s="283">
        <v>1.0489999999999999</v>
      </c>
    </row>
    <row r="21" spans="1:61" s="188" customFormat="1" ht="16.5" customHeight="1" x14ac:dyDescent="0.25">
      <c r="A21" s="4"/>
      <c r="B21" s="16" t="s">
        <v>47</v>
      </c>
      <c r="C21" s="4"/>
      <c r="D21" s="513"/>
      <c r="E21" s="514"/>
      <c r="F21" s="4"/>
      <c r="G21" s="193" t="s">
        <v>194</v>
      </c>
      <c r="H21" s="4"/>
      <c r="I21" s="4"/>
      <c r="J21" s="4"/>
      <c r="K21" s="4"/>
      <c r="L21" s="182" t="s">
        <v>136</v>
      </c>
      <c r="M21" s="4"/>
      <c r="N21" s="21"/>
      <c r="O21" s="208"/>
      <c r="P21" s="14" t="s">
        <v>137</v>
      </c>
      <c r="Q21" s="16"/>
      <c r="R21" s="153"/>
      <c r="S21" s="153"/>
      <c r="T21" s="153"/>
      <c r="U21" s="153"/>
      <c r="V21" s="142"/>
      <c r="W21" s="145"/>
      <c r="X21" s="146"/>
      <c r="Y21" s="144"/>
      <c r="Z21" s="142"/>
      <c r="AR21" s="153">
        <v>4</v>
      </c>
      <c r="AS21" s="153" t="s">
        <v>6</v>
      </c>
      <c r="AT21" s="153"/>
      <c r="AU21" s="153"/>
      <c r="AV21" s="142"/>
      <c r="AW21" s="188">
        <v>3</v>
      </c>
      <c r="AX21" s="239" t="s">
        <v>197</v>
      </c>
      <c r="AY21" s="222"/>
      <c r="AZ21" s="238">
        <v>150</v>
      </c>
      <c r="BB21" s="145">
        <v>3</v>
      </c>
      <c r="BC21" s="146" t="s">
        <v>131</v>
      </c>
      <c r="BE21" s="144">
        <v>1.38</v>
      </c>
      <c r="BF21" s="188">
        <v>1.36</v>
      </c>
      <c r="BG21" s="222">
        <v>1.054</v>
      </c>
      <c r="BH21" s="222">
        <v>1.2649999999999999</v>
      </c>
      <c r="BI21" s="242">
        <v>1.38</v>
      </c>
    </row>
    <row r="22" spans="1:61" ht="18.75" customHeight="1" x14ac:dyDescent="0.25">
      <c r="A22" s="4"/>
      <c r="B22" s="55" t="s">
        <v>92</v>
      </c>
      <c r="C22" s="166"/>
      <c r="D22" s="167"/>
      <c r="E22" s="168" t="str">
        <f>CHOOSE(AR23,"",J14,J15,O12)</f>
        <v/>
      </c>
      <c r="F22" s="4" t="s">
        <v>44</v>
      </c>
      <c r="G22" s="180" t="s">
        <v>86</v>
      </c>
      <c r="H22" s="26"/>
      <c r="I22" s="4"/>
      <c r="J22" s="4"/>
      <c r="K22" s="4"/>
      <c r="L22" s="182" t="s">
        <v>184</v>
      </c>
      <c r="M22" s="4"/>
      <c r="N22" s="5"/>
      <c r="O22" s="207"/>
      <c r="P22" s="15" t="s">
        <v>137</v>
      </c>
      <c r="Q22" s="16"/>
      <c r="R22" s="153"/>
      <c r="S22" s="153"/>
      <c r="T22" s="153"/>
      <c r="U22" s="153"/>
      <c r="V22" s="142"/>
      <c r="W22" s="145"/>
      <c r="X22" s="146"/>
      <c r="Y22" s="144"/>
      <c r="Z22" s="142"/>
      <c r="AR22" s="153"/>
      <c r="AS22" s="153"/>
      <c r="AT22" s="153"/>
      <c r="AU22" s="153"/>
      <c r="AV22" s="142"/>
      <c r="AW22" s="188">
        <v>4</v>
      </c>
      <c r="AX22" s="450" t="s">
        <v>239</v>
      </c>
      <c r="AY22" s="353"/>
      <c r="AZ22" s="355">
        <v>150</v>
      </c>
      <c r="BA22" s="188"/>
      <c r="BB22" s="145">
        <v>4</v>
      </c>
      <c r="BC22" s="146" t="s">
        <v>132</v>
      </c>
      <c r="BD22" s="188"/>
      <c r="BE22" s="144">
        <v>1.61</v>
      </c>
      <c r="BF22" s="188">
        <v>1.59</v>
      </c>
      <c r="BG22" s="353">
        <v>1.2449999999999999</v>
      </c>
      <c r="BH22" s="353">
        <v>1.5049999999999999</v>
      </c>
      <c r="BI22" s="144">
        <v>1.61</v>
      </c>
    </row>
    <row r="23" spans="1:61" ht="18" customHeight="1" x14ac:dyDescent="0.25">
      <c r="A23" s="4"/>
      <c r="B23" s="468" t="s">
        <v>93</v>
      </c>
      <c r="C23" s="503"/>
      <c r="D23" s="503"/>
      <c r="E23" s="503"/>
      <c r="G23" s="180" t="s">
        <v>87</v>
      </c>
      <c r="H23" s="26"/>
      <c r="I23" s="4"/>
      <c r="J23" s="64" t="str">
        <f>IF(BB25=1,"",INDEX(BD19:BI23,BB25,AW25))</f>
        <v/>
      </c>
      <c r="K23" s="4" t="s">
        <v>20</v>
      </c>
      <c r="L23" s="4"/>
      <c r="M23" s="4"/>
      <c r="N23" s="4"/>
      <c r="O23" s="163"/>
      <c r="P23" s="14"/>
      <c r="Q23" s="16"/>
      <c r="R23" s="152"/>
      <c r="S23" s="154"/>
      <c r="T23" s="155"/>
      <c r="U23" s="153"/>
      <c r="V23" s="142"/>
      <c r="W23" s="145"/>
      <c r="X23" s="146"/>
      <c r="Y23" s="144"/>
      <c r="Z23" s="142"/>
      <c r="AR23" s="152">
        <v>1</v>
      </c>
      <c r="AS23" s="154" t="s">
        <v>133</v>
      </c>
      <c r="AT23" s="153"/>
      <c r="AU23" s="153"/>
      <c r="AV23" s="142"/>
      <c r="AW23" s="188">
        <v>5</v>
      </c>
      <c r="AX23" s="359" t="s">
        <v>198</v>
      </c>
      <c r="AY23" s="222"/>
      <c r="AZ23" s="238">
        <v>130</v>
      </c>
      <c r="BA23" s="188"/>
      <c r="BB23" s="145">
        <v>5</v>
      </c>
      <c r="BC23" s="146" t="s">
        <v>1</v>
      </c>
      <c r="BD23" s="188"/>
      <c r="BE23" s="144">
        <v>2.0670000000000002</v>
      </c>
      <c r="BF23" s="188">
        <v>2.0470000000000002</v>
      </c>
      <c r="BG23" s="222">
        <v>1.629</v>
      </c>
      <c r="BH23" s="222">
        <v>1.9850000000000001</v>
      </c>
      <c r="BI23" s="242">
        <v>2.0670000000000002</v>
      </c>
    </row>
    <row r="24" spans="1:61" ht="15.75" customHeight="1" x14ac:dyDescent="0.25">
      <c r="A24" s="4"/>
      <c r="B24" s="483"/>
      <c r="C24" s="487"/>
      <c r="D24" s="487"/>
      <c r="E24" s="487"/>
      <c r="F24" s="46"/>
      <c r="G24" s="180" t="s">
        <v>22</v>
      </c>
      <c r="H24" s="26"/>
      <c r="I24" s="4"/>
      <c r="J24" s="65" t="str">
        <f>IF(BB25=1,"",(J23/2)^2*PI()/144)</f>
        <v/>
      </c>
      <c r="K24" s="4" t="s">
        <v>21</v>
      </c>
      <c r="L24" s="4" t="s">
        <v>150</v>
      </c>
      <c r="M24" s="4"/>
      <c r="N24" s="4"/>
      <c r="O24" s="102" t="str">
        <f>IF(O21="","",O21-O22)</f>
        <v/>
      </c>
      <c r="P24" s="104" t="s">
        <v>137</v>
      </c>
      <c r="Q24" s="16"/>
      <c r="R24" s="153"/>
      <c r="S24" s="153"/>
      <c r="T24" s="155"/>
      <c r="U24" s="153"/>
      <c r="V24" s="142"/>
      <c r="W24" s="142"/>
      <c r="X24" s="142"/>
      <c r="Y24" s="142"/>
      <c r="Z24" s="142"/>
      <c r="AT24" s="155"/>
      <c r="AU24" s="153"/>
      <c r="AV24" s="142"/>
      <c r="AW24" s="188">
        <v>6</v>
      </c>
      <c r="AX24" s="359" t="s">
        <v>199</v>
      </c>
      <c r="AY24" s="222"/>
      <c r="AZ24" s="238">
        <v>80</v>
      </c>
      <c r="BA24" s="188"/>
      <c r="BB24" s="142"/>
      <c r="BC24" s="142"/>
      <c r="BD24" s="142"/>
      <c r="BE24" s="188"/>
      <c r="BF24" s="188"/>
      <c r="BG24" s="188"/>
      <c r="BH24" s="188"/>
    </row>
    <row r="25" spans="1:61" x14ac:dyDescent="0.25">
      <c r="A25" s="4"/>
      <c r="B25" s="483"/>
      <c r="C25" s="487"/>
      <c r="D25" s="487"/>
      <c r="E25" s="487"/>
      <c r="G25" s="180" t="s">
        <v>134</v>
      </c>
      <c r="H25" s="26"/>
      <c r="I25" s="4"/>
      <c r="J25" s="66" t="str">
        <f>IF(OR(BB25= 1,E22=""),"",1043.8*POWER(E22/AZ25,1.85)/POWER(J23,4.87))</f>
        <v/>
      </c>
      <c r="K25" s="4" t="s">
        <v>135</v>
      </c>
      <c r="L25" s="4"/>
      <c r="M25" s="4"/>
      <c r="N25" s="98" t="s">
        <v>7</v>
      </c>
      <c r="O25" s="68" t="str">
        <f>IF(O24="","",O24/2.31)</f>
        <v/>
      </c>
      <c r="P25" s="15" t="s">
        <v>2</v>
      </c>
      <c r="Q25" s="16"/>
      <c r="R25" s="153"/>
      <c r="S25" s="153"/>
      <c r="T25" s="155"/>
      <c r="U25" s="153"/>
      <c r="V25" s="142"/>
      <c r="W25" s="76"/>
      <c r="X25" s="148"/>
      <c r="Y25" s="142"/>
      <c r="Z25" s="142"/>
      <c r="AR25" s="153"/>
      <c r="AS25" s="153"/>
      <c r="AT25" s="155"/>
      <c r="AU25" s="153"/>
      <c r="AV25" s="142"/>
      <c r="AW25" s="76">
        <v>1</v>
      </c>
      <c r="AX25" s="194" t="s">
        <v>133</v>
      </c>
      <c r="AY25" s="188"/>
      <c r="AZ25" s="142" t="str">
        <f>CHOOSE(AW25,"",150,150,150,130,80)</f>
        <v/>
      </c>
      <c r="BA25" s="188"/>
      <c r="BB25" s="76">
        <v>1</v>
      </c>
      <c r="BC25" s="148" t="s">
        <v>133</v>
      </c>
      <c r="BD25" s="142"/>
      <c r="BE25" s="188"/>
      <c r="BF25" s="188"/>
      <c r="BG25" s="188"/>
      <c r="BH25" s="188"/>
    </row>
    <row r="26" spans="1:61" ht="14.25" customHeight="1" x14ac:dyDescent="0.25">
      <c r="A26" s="4"/>
      <c r="B26" s="16" t="s">
        <v>153</v>
      </c>
      <c r="C26" s="4"/>
      <c r="D26" s="4"/>
      <c r="E26" s="208"/>
      <c r="F26" s="4" t="s">
        <v>2</v>
      </c>
      <c r="G26" s="181" t="s">
        <v>54</v>
      </c>
      <c r="H26" s="20"/>
      <c r="I26" s="20"/>
      <c r="J26" s="66" t="str">
        <f>IF(BB25=1,"",IF(E22="","",E22*0.002228/J24))</f>
        <v/>
      </c>
      <c r="K26" s="4" t="s">
        <v>53</v>
      </c>
      <c r="L26" s="186"/>
      <c r="M26" s="186"/>
      <c r="N26" s="186"/>
      <c r="O26" s="186"/>
      <c r="P26" s="200"/>
      <c r="Q26" s="16"/>
      <c r="R26" s="7"/>
      <c r="S26" s="7"/>
      <c r="T26" s="4"/>
      <c r="U26" s="7"/>
      <c r="AR26" s="153"/>
      <c r="AS26" s="153"/>
      <c r="AT26" s="155"/>
      <c r="AU26" s="153"/>
      <c r="AV26" s="142"/>
    </row>
    <row r="27" spans="1:61" ht="14.25" customHeight="1" x14ac:dyDescent="0.25">
      <c r="A27" s="4"/>
      <c r="B27" s="483" t="s">
        <v>88</v>
      </c>
      <c r="C27" s="487"/>
      <c r="D27" s="487"/>
      <c r="E27" s="487"/>
      <c r="F27" s="4"/>
      <c r="G27" s="530" t="s">
        <v>161</v>
      </c>
      <c r="H27" s="530"/>
      <c r="I27" s="530"/>
      <c r="J27" s="530"/>
      <c r="K27" s="530"/>
      <c r="L27" s="81"/>
      <c r="M27" s="5"/>
      <c r="N27" s="5"/>
      <c r="O27" s="5"/>
      <c r="P27" s="14"/>
      <c r="Q27" s="16"/>
      <c r="R27" s="7"/>
      <c r="S27" s="7"/>
      <c r="T27" s="4"/>
      <c r="U27" s="7"/>
      <c r="AX27" s="222" t="s">
        <v>241</v>
      </c>
    </row>
    <row r="28" spans="1:61" ht="12.75" customHeight="1" x14ac:dyDescent="0.25">
      <c r="A28" s="4"/>
      <c r="B28" s="483"/>
      <c r="C28" s="487"/>
      <c r="D28" s="487"/>
      <c r="E28" s="487"/>
      <c r="F28" s="4"/>
      <c r="G28" s="530"/>
      <c r="H28" s="530"/>
      <c r="I28" s="530"/>
      <c r="J28" s="530"/>
      <c r="K28" s="530"/>
      <c r="L28" s="34"/>
      <c r="M28" s="4"/>
      <c r="N28" s="4"/>
      <c r="O28" s="4"/>
      <c r="P28" s="14"/>
      <c r="Q28" s="16"/>
      <c r="R28" s="7"/>
      <c r="S28" s="7"/>
      <c r="T28" s="4"/>
      <c r="U28" s="7"/>
      <c r="AX28" s="222" t="s">
        <v>242</v>
      </c>
    </row>
    <row r="29" spans="1:61" x14ac:dyDescent="0.25">
      <c r="A29" s="4"/>
      <c r="B29" s="199"/>
      <c r="C29" s="191"/>
      <c r="D29" s="191"/>
      <c r="E29" s="191"/>
      <c r="G29" s="182" t="s">
        <v>148</v>
      </c>
      <c r="H29" s="5"/>
      <c r="I29" s="5"/>
      <c r="J29" s="208"/>
      <c r="K29" s="4" t="s">
        <v>137</v>
      </c>
      <c r="L29" s="4"/>
      <c r="M29" s="4"/>
      <c r="N29" s="4"/>
      <c r="O29" s="4"/>
      <c r="P29" s="14"/>
      <c r="Q29" s="16"/>
      <c r="R29" s="7"/>
      <c r="S29" s="7"/>
      <c r="T29" s="7"/>
      <c r="U29" s="7"/>
    </row>
    <row r="30" spans="1:61" ht="12.75" customHeight="1" x14ac:dyDescent="0.25">
      <c r="A30" s="4"/>
      <c r="B30" s="169" t="s">
        <v>216</v>
      </c>
      <c r="C30" s="4"/>
      <c r="D30" s="4"/>
      <c r="E30" s="208"/>
      <c r="F30" s="4" t="s">
        <v>2</v>
      </c>
      <c r="G30" s="85" t="s">
        <v>149</v>
      </c>
      <c r="H30" s="80"/>
      <c r="I30" s="80"/>
      <c r="J30" s="97" t="str">
        <f>IF(J29="","",J29*1.1)</f>
        <v/>
      </c>
      <c r="K30" s="4" t="s">
        <v>137</v>
      </c>
      <c r="L30" s="4"/>
      <c r="M30" s="4"/>
      <c r="N30" s="4"/>
      <c r="O30" s="4"/>
      <c r="P30" s="14"/>
      <c r="Q30" s="16"/>
      <c r="R30" s="7"/>
      <c r="S30" s="7"/>
      <c r="T30" s="7"/>
      <c r="U30" s="7"/>
    </row>
    <row r="31" spans="1:61" ht="15.75" customHeight="1" x14ac:dyDescent="0.25">
      <c r="A31" s="4"/>
      <c r="B31" s="483" t="s">
        <v>178</v>
      </c>
      <c r="C31" s="487"/>
      <c r="D31" s="487"/>
      <c r="E31" s="487"/>
      <c r="F31" s="4"/>
      <c r="G31" s="180" t="s">
        <v>50</v>
      </c>
      <c r="H31" s="5"/>
      <c r="I31" s="161"/>
      <c r="J31" s="67" t="str">
        <f>IF(J29="","",J25*J30/100)</f>
        <v/>
      </c>
      <c r="K31" s="5" t="s">
        <v>176</v>
      </c>
      <c r="M31" s="4"/>
      <c r="N31" s="4"/>
      <c r="O31" s="4"/>
      <c r="P31" s="14"/>
      <c r="Q31" s="16"/>
      <c r="R31" s="7"/>
      <c r="S31" s="7"/>
      <c r="T31" s="7"/>
      <c r="U31" s="7"/>
    </row>
    <row r="32" spans="1:61" x14ac:dyDescent="0.25">
      <c r="A32" s="4"/>
      <c r="B32" s="483"/>
      <c r="C32" s="487"/>
      <c r="D32" s="487"/>
      <c r="E32" s="487"/>
      <c r="F32" s="186"/>
      <c r="G32" s="183" t="s">
        <v>50</v>
      </c>
      <c r="H32" s="4"/>
      <c r="I32" s="4"/>
      <c r="J32" s="66" t="str">
        <f>IF(J31="","",J31/2.31)</f>
        <v/>
      </c>
      <c r="K32" s="26" t="s">
        <v>188</v>
      </c>
      <c r="L32" s="4"/>
      <c r="M32" s="4"/>
      <c r="N32" s="4"/>
      <c r="O32" s="4"/>
      <c r="P32" s="14"/>
      <c r="Q32" s="16"/>
      <c r="R32" s="7"/>
      <c r="S32" s="7"/>
      <c r="T32" s="7"/>
      <c r="U32" s="7"/>
    </row>
    <row r="33" spans="1:21" x14ac:dyDescent="0.25">
      <c r="A33" s="4"/>
      <c r="B33" s="199"/>
      <c r="C33" s="191"/>
      <c r="D33" s="191"/>
      <c r="E33" s="191"/>
      <c r="F33" s="186"/>
      <c r="G33" s="7"/>
      <c r="H33" s="7"/>
      <c r="I33" s="7"/>
      <c r="J33" s="152"/>
      <c r="K33" s="7"/>
      <c r="L33" s="4"/>
      <c r="M33" s="4"/>
      <c r="N33" s="4"/>
      <c r="O33" s="4"/>
      <c r="P33" s="14"/>
      <c r="Q33" s="16"/>
      <c r="R33" s="7"/>
      <c r="S33" s="7"/>
      <c r="T33" s="7"/>
      <c r="U33" s="7"/>
    </row>
    <row r="34" spans="1:21" x14ac:dyDescent="0.25">
      <c r="A34" s="4"/>
      <c r="B34" s="199"/>
      <c r="C34" s="191"/>
      <c r="D34" s="191"/>
      <c r="E34" s="191"/>
      <c r="F34" s="191"/>
      <c r="G34" s="4" t="s">
        <v>76</v>
      </c>
      <c r="H34" s="4"/>
      <c r="I34" s="4"/>
      <c r="J34" s="211"/>
      <c r="K34" s="4" t="s">
        <v>2</v>
      </c>
      <c r="L34" s="4"/>
      <c r="M34" s="4"/>
      <c r="N34" s="4"/>
      <c r="O34" s="4"/>
      <c r="P34" s="14"/>
      <c r="Q34" s="4"/>
      <c r="R34" s="7"/>
      <c r="S34" s="7"/>
      <c r="T34" s="7"/>
      <c r="U34" s="7"/>
    </row>
    <row r="35" spans="1:21" x14ac:dyDescent="0.25">
      <c r="A35" s="4"/>
      <c r="B35" s="16"/>
      <c r="C35" s="4"/>
      <c r="D35" s="4"/>
      <c r="E35" s="4"/>
      <c r="F35" s="4"/>
      <c r="G35" s="4" t="s">
        <v>78</v>
      </c>
      <c r="H35" s="4"/>
      <c r="I35" s="4"/>
      <c r="J35" s="67" t="str">
        <f>IF(J34="","",0.72*J34)</f>
        <v/>
      </c>
      <c r="K35" s="376" t="s">
        <v>228</v>
      </c>
      <c r="L35" s="4"/>
      <c r="M35" s="4"/>
      <c r="N35" s="4"/>
      <c r="O35" s="4"/>
      <c r="P35" s="14"/>
      <c r="Q35" s="4"/>
      <c r="R35" s="7"/>
      <c r="S35" s="7"/>
      <c r="T35" s="7"/>
      <c r="U35" s="7"/>
    </row>
    <row r="36" spans="1:21" x14ac:dyDescent="0.25">
      <c r="A36" s="4"/>
      <c r="B36" s="40"/>
      <c r="C36" s="17"/>
      <c r="D36" s="17"/>
      <c r="E36" s="17"/>
      <c r="F36" s="17"/>
      <c r="G36" s="17"/>
      <c r="H36" s="17"/>
      <c r="I36" s="17"/>
      <c r="J36" s="157"/>
      <c r="K36" s="17"/>
      <c r="L36" s="17"/>
      <c r="M36" s="17"/>
      <c r="N36" s="17"/>
      <c r="O36" s="17"/>
      <c r="P36" s="122"/>
      <c r="Q36" s="4"/>
      <c r="R36" s="7"/>
      <c r="S36" s="7"/>
      <c r="T36" s="7"/>
      <c r="U36" s="7"/>
    </row>
    <row r="37" spans="1:21" x14ac:dyDescent="0.25">
      <c r="A37" s="4"/>
      <c r="B37" s="74"/>
      <c r="C37" s="74"/>
      <c r="D37" s="74"/>
      <c r="E37" s="74"/>
      <c r="F37" s="4"/>
      <c r="G37" s="4"/>
      <c r="H37" s="4"/>
      <c r="I37" s="4"/>
      <c r="J37" s="4"/>
      <c r="K37" s="4"/>
      <c r="L37" s="4"/>
      <c r="M37" s="4"/>
      <c r="N37" s="4"/>
      <c r="O37" s="4"/>
      <c r="P37" s="4"/>
      <c r="Q37" s="4"/>
      <c r="R37" s="7"/>
      <c r="S37" s="7"/>
      <c r="T37" s="7"/>
      <c r="U37" s="7"/>
    </row>
    <row r="38" spans="1:21" ht="17.399999999999999" x14ac:dyDescent="0.25">
      <c r="A38" s="4"/>
      <c r="B38" s="541" t="s">
        <v>182</v>
      </c>
      <c r="C38" s="542"/>
      <c r="D38" s="542"/>
      <c r="E38" s="542"/>
      <c r="F38" s="542"/>
      <c r="G38" s="109"/>
      <c r="H38" s="109"/>
      <c r="I38" s="542" t="s">
        <v>159</v>
      </c>
      <c r="J38" s="542"/>
      <c r="K38" s="542"/>
      <c r="L38" s="542"/>
      <c r="M38" s="542"/>
      <c r="N38" s="62"/>
      <c r="O38" s="62"/>
      <c r="P38" s="110"/>
      <c r="Q38" s="4"/>
      <c r="R38" s="7"/>
      <c r="S38" s="7"/>
      <c r="T38" s="7"/>
      <c r="U38" s="7"/>
    </row>
    <row r="39" spans="1:21" x14ac:dyDescent="0.25">
      <c r="A39" s="4"/>
      <c r="B39" s="111" t="s">
        <v>189</v>
      </c>
      <c r="C39" s="32"/>
      <c r="D39" s="32"/>
      <c r="E39" s="32"/>
      <c r="F39" s="32"/>
      <c r="G39" s="32"/>
      <c r="H39" s="32"/>
      <c r="I39" s="108" t="s">
        <v>183</v>
      </c>
      <c r="J39" s="32"/>
      <c r="K39" s="21"/>
      <c r="L39" s="21"/>
      <c r="M39" s="21"/>
      <c r="N39" s="5"/>
      <c r="O39" s="4"/>
      <c r="P39" s="14"/>
      <c r="Q39" s="4"/>
      <c r="R39" s="7"/>
      <c r="S39" s="7"/>
      <c r="T39" s="7"/>
      <c r="U39" s="7"/>
    </row>
    <row r="40" spans="1:21" x14ac:dyDescent="0.25">
      <c r="A40" s="4"/>
      <c r="B40" s="170"/>
      <c r="C40" s="171" t="s">
        <v>51</v>
      </c>
      <c r="D40" s="21"/>
      <c r="E40" s="99" t="str">
        <f>IF(O25="","",O25)</f>
        <v/>
      </c>
      <c r="F40" s="103" t="s">
        <v>2</v>
      </c>
      <c r="G40" s="105"/>
      <c r="H40" s="21"/>
      <c r="I40" s="182" t="s">
        <v>184</v>
      </c>
      <c r="J40" s="5"/>
      <c r="K40" s="5"/>
      <c r="L40" s="185" t="str">
        <f>IF(O22="","",O22)</f>
        <v/>
      </c>
      <c r="M40" s="163" t="s">
        <v>137</v>
      </c>
      <c r="N40" s="4"/>
      <c r="O40" s="4"/>
      <c r="P40" s="14"/>
      <c r="Q40" s="4"/>
      <c r="R40" s="7"/>
      <c r="S40" s="7"/>
      <c r="T40" s="7"/>
      <c r="U40" s="7"/>
    </row>
    <row r="41" spans="1:21" x14ac:dyDescent="0.25">
      <c r="A41" s="4"/>
      <c r="B41" s="170"/>
      <c r="C41" s="172" t="s">
        <v>140</v>
      </c>
      <c r="D41" s="5"/>
      <c r="E41" s="100" t="str">
        <f>IF(J31="","",J31/2.31)</f>
        <v/>
      </c>
      <c r="F41" s="103" t="s">
        <v>2</v>
      </c>
      <c r="G41" s="105"/>
      <c r="H41" s="21"/>
      <c r="I41" s="4" t="s">
        <v>162</v>
      </c>
      <c r="J41" s="21"/>
      <c r="K41" s="21"/>
      <c r="L41" s="209"/>
      <c r="M41" s="85" t="s">
        <v>137</v>
      </c>
      <c r="N41" s="4"/>
      <c r="O41" s="4"/>
      <c r="P41" s="14"/>
      <c r="Q41" s="4"/>
      <c r="R41" s="7"/>
      <c r="S41" s="7"/>
      <c r="T41" s="7"/>
      <c r="U41" s="7"/>
    </row>
    <row r="42" spans="1:21" x14ac:dyDescent="0.25">
      <c r="A42" s="4"/>
      <c r="B42" s="170"/>
      <c r="C42" s="184" t="s">
        <v>216</v>
      </c>
      <c r="D42" s="21"/>
      <c r="E42" s="101" t="str">
        <f>IF(E30="","",E30)</f>
        <v/>
      </c>
      <c r="F42" s="103" t="s">
        <v>2</v>
      </c>
      <c r="G42" s="105"/>
      <c r="H42" s="21"/>
      <c r="I42" s="163"/>
      <c r="J42" s="173"/>
      <c r="K42" s="4" t="s">
        <v>163</v>
      </c>
      <c r="L42" s="97" t="str">
        <f>IF(L40="","",L40-L41)</f>
        <v/>
      </c>
      <c r="M42" s="4" t="s">
        <v>169</v>
      </c>
      <c r="N42" s="141" t="str">
        <f>IF(L42="","",L42/2.31)</f>
        <v/>
      </c>
      <c r="O42" s="4" t="s">
        <v>2</v>
      </c>
      <c r="P42" s="14"/>
      <c r="Q42" s="4"/>
      <c r="R42" s="7"/>
      <c r="S42" s="7"/>
      <c r="T42" s="7"/>
      <c r="U42" s="7"/>
    </row>
    <row r="43" spans="1:21" x14ac:dyDescent="0.25">
      <c r="A43" s="4"/>
      <c r="B43" s="170"/>
      <c r="C43" s="174"/>
      <c r="D43" s="174"/>
      <c r="E43" s="186"/>
      <c r="F43" s="186"/>
      <c r="G43" s="105"/>
      <c r="H43" s="21"/>
      <c r="I43" s="4"/>
      <c r="J43" s="173"/>
      <c r="K43" s="4" t="s">
        <v>185</v>
      </c>
      <c r="L43" s="21"/>
      <c r="M43" s="173"/>
      <c r="N43" s="175" t="str">
        <f>IF(E46="","",E46)</f>
        <v/>
      </c>
      <c r="O43" s="81" t="s">
        <v>2</v>
      </c>
      <c r="P43" s="104"/>
      <c r="Q43" s="21"/>
      <c r="R43" s="7"/>
      <c r="S43" s="7"/>
      <c r="T43" s="7"/>
      <c r="U43" s="7"/>
    </row>
    <row r="44" spans="1:21" x14ac:dyDescent="0.25">
      <c r="A44" s="4"/>
      <c r="B44" s="16"/>
      <c r="C44" s="83" t="s">
        <v>167</v>
      </c>
      <c r="D44" s="21"/>
      <c r="E44" s="84" t="str">
        <f>IF(E40="","",SUM(E40:E42))</f>
        <v/>
      </c>
      <c r="F44" s="103" t="s">
        <v>2</v>
      </c>
      <c r="G44" s="163"/>
      <c r="H44" s="4"/>
      <c r="I44" s="4"/>
      <c r="J44" s="4"/>
      <c r="K44" s="21" t="s">
        <v>168</v>
      </c>
      <c r="L44" s="163"/>
      <c r="M44" s="4"/>
      <c r="N44" s="149" t="str">
        <f>IF(N42="","",N42+N43)</f>
        <v/>
      </c>
      <c r="O44" s="163" t="s">
        <v>2</v>
      </c>
      <c r="P44" s="15"/>
      <c r="Q44" s="5"/>
      <c r="R44" s="152"/>
      <c r="S44" s="7"/>
      <c r="T44" s="7"/>
      <c r="U44" s="7"/>
    </row>
    <row r="45" spans="1:21" x14ac:dyDescent="0.25">
      <c r="A45" s="4"/>
      <c r="B45" s="113"/>
      <c r="C45" s="5"/>
      <c r="D45" s="5"/>
      <c r="E45" s="5"/>
      <c r="F45" s="5"/>
      <c r="G45" s="5"/>
      <c r="H45" s="5"/>
      <c r="I45" s="34"/>
      <c r="J45" s="4"/>
      <c r="K45" s="4"/>
      <c r="L45" s="4"/>
      <c r="M45" s="4"/>
      <c r="N45" s="487" t="s">
        <v>171</v>
      </c>
      <c r="O45" s="487"/>
      <c r="P45" s="505"/>
      <c r="Q45" s="4"/>
      <c r="R45" s="7"/>
      <c r="S45" s="7"/>
      <c r="T45" s="7"/>
      <c r="U45" s="7"/>
    </row>
    <row r="46" spans="1:21" ht="13.5" customHeight="1" x14ac:dyDescent="0.3">
      <c r="A46" s="4"/>
      <c r="B46" s="176"/>
      <c r="C46" s="537" t="s">
        <v>186</v>
      </c>
      <c r="D46" s="538"/>
      <c r="E46" s="209"/>
      <c r="F46" s="85" t="s">
        <v>2</v>
      </c>
      <c r="G46" s="21"/>
      <c r="H46" s="82"/>
      <c r="I46" s="4"/>
      <c r="J46" s="18"/>
      <c r="K46" s="4"/>
      <c r="L46" s="21"/>
      <c r="M46" s="18"/>
      <c r="N46" s="487"/>
      <c r="O46" s="487"/>
      <c r="P46" s="505"/>
      <c r="Q46" s="4"/>
      <c r="R46" s="152"/>
      <c r="S46" s="7"/>
      <c r="T46" s="7"/>
      <c r="U46" s="7"/>
    </row>
    <row r="47" spans="1:21" x14ac:dyDescent="0.25">
      <c r="A47" s="4"/>
      <c r="B47" s="177"/>
      <c r="C47" s="539" t="s">
        <v>187</v>
      </c>
      <c r="D47" s="540"/>
      <c r="E47" s="187" t="str">
        <f>IF(E44="","",IF(E46&gt;E44,"Adequate","Inadequate"))</f>
        <v/>
      </c>
      <c r="F47" s="174"/>
      <c r="G47" s="174"/>
      <c r="H47" s="105"/>
      <c r="I47" s="5"/>
      <c r="J47" s="4"/>
      <c r="K47" s="4"/>
      <c r="L47" s="21"/>
      <c r="M47" s="4"/>
      <c r="N47" s="487"/>
      <c r="O47" s="487"/>
      <c r="P47" s="505"/>
      <c r="Q47" s="5"/>
      <c r="R47" s="7"/>
      <c r="S47" s="7"/>
      <c r="T47" s="7"/>
      <c r="U47" s="7"/>
    </row>
    <row r="48" spans="1:21" x14ac:dyDescent="0.25">
      <c r="A48" s="4"/>
      <c r="B48" s="177"/>
      <c r="C48" s="186"/>
      <c r="D48" s="186"/>
      <c r="E48" s="186"/>
      <c r="F48" s="174"/>
      <c r="G48" s="174"/>
      <c r="H48" s="105"/>
      <c r="I48" s="105"/>
      <c r="J48" s="106"/>
      <c r="K48" s="4"/>
      <c r="L48" s="21"/>
      <c r="M48" s="4"/>
      <c r="N48" s="487"/>
      <c r="O48" s="487"/>
      <c r="P48" s="505"/>
      <c r="Q48" s="5"/>
      <c r="R48" s="7"/>
      <c r="S48" s="7"/>
      <c r="T48" s="7"/>
      <c r="U48" s="7"/>
    </row>
    <row r="49" spans="1:21" x14ac:dyDescent="0.25">
      <c r="A49" s="4"/>
      <c r="B49" s="178"/>
      <c r="C49" s="179"/>
      <c r="D49" s="179"/>
      <c r="E49" s="179"/>
      <c r="F49" s="179"/>
      <c r="G49" s="179"/>
      <c r="H49" s="159"/>
      <c r="I49" s="164"/>
      <c r="J49" s="138"/>
      <c r="K49" s="138"/>
      <c r="L49" s="138"/>
      <c r="M49" s="138"/>
      <c r="N49" s="535"/>
      <c r="O49" s="535"/>
      <c r="P49" s="536"/>
      <c r="Q49" s="22"/>
      <c r="R49" s="7"/>
      <c r="S49" s="7"/>
      <c r="T49" s="7"/>
      <c r="U49" s="7"/>
    </row>
    <row r="50" spans="1:21" x14ac:dyDescent="0.25">
      <c r="A50" s="4"/>
      <c r="B50" s="4"/>
      <c r="C50" s="4"/>
      <c r="D50" s="4"/>
      <c r="E50" s="4"/>
      <c r="F50" s="4"/>
      <c r="G50" s="4"/>
      <c r="H50" s="4"/>
      <c r="I50" s="4"/>
      <c r="J50" s="4"/>
      <c r="K50" s="4"/>
      <c r="L50" s="173"/>
      <c r="M50" s="173"/>
      <c r="N50" s="173"/>
      <c r="O50" s="173"/>
      <c r="P50" s="22"/>
      <c r="Q50" s="22"/>
      <c r="R50" s="7"/>
      <c r="S50" s="7"/>
      <c r="T50" s="7"/>
      <c r="U50" s="7"/>
    </row>
    <row r="51" spans="1:21" x14ac:dyDescent="0.25">
      <c r="A51" s="4"/>
      <c r="R51" s="7"/>
      <c r="S51" s="7"/>
      <c r="T51" s="7"/>
      <c r="U51" s="7"/>
    </row>
  </sheetData>
  <sheetProtection sheet="1" objects="1" scenarios="1"/>
  <mergeCells count="22">
    <mergeCell ref="B31:E32"/>
    <mergeCell ref="B27:E28"/>
    <mergeCell ref="B23:E25"/>
    <mergeCell ref="N45:P49"/>
    <mergeCell ref="C46:D46"/>
    <mergeCell ref="C47:D47"/>
    <mergeCell ref="G27:K28"/>
    <mergeCell ref="B38:F38"/>
    <mergeCell ref="I38:M38"/>
    <mergeCell ref="D21:E21"/>
    <mergeCell ref="B1:P2"/>
    <mergeCell ref="B3:O3"/>
    <mergeCell ref="H4:P8"/>
    <mergeCell ref="D5:E5"/>
    <mergeCell ref="D6:E6"/>
    <mergeCell ref="D7:E7"/>
    <mergeCell ref="D8:E8"/>
    <mergeCell ref="D12:E12"/>
    <mergeCell ref="L14:P15"/>
    <mergeCell ref="B16:E17"/>
    <mergeCell ref="G16:J17"/>
    <mergeCell ref="L16:P17"/>
  </mergeCells>
  <conditionalFormatting sqref="J32">
    <cfRule type="expression" dxfId="53" priority="10" stopIfTrue="1">
      <formula>J31=""</formula>
    </cfRule>
    <cfRule type="cellIs" dxfId="52" priority="11" stopIfTrue="1" operator="greaterThan">
      <formula>10</formula>
    </cfRule>
  </conditionalFormatting>
  <conditionalFormatting sqref="J26">
    <cfRule type="expression" dxfId="51" priority="17" stopIfTrue="1">
      <formula>$E$21=""</formula>
    </cfRule>
    <cfRule type="cellIs" dxfId="50" priority="18" stopIfTrue="1" operator="between">
      <formula>5</formula>
      <formula>1000000</formula>
    </cfRule>
  </conditionalFormatting>
  <conditionalFormatting sqref="J26">
    <cfRule type="expression" dxfId="49" priority="19" stopIfTrue="1">
      <formula>$E$22=""</formula>
    </cfRule>
    <cfRule type="cellIs" dxfId="48" priority="20" stopIfTrue="1" operator="between">
      <formula>5</formula>
      <formula>1000000</formula>
    </cfRule>
  </conditionalFormatting>
  <conditionalFormatting sqref="N44">
    <cfRule type="expression" dxfId="47" priority="28" stopIfTrue="1">
      <formula>$E$26=""</formula>
    </cfRule>
    <cfRule type="cellIs" dxfId="46" priority="29" stopIfTrue="1" operator="greaterThanOrEqual">
      <formula>$J$35</formula>
    </cfRule>
    <cfRule type="cellIs" dxfId="45" priority="30" stopIfTrue="1" operator="greaterThanOrEqual">
      <formula>$E$26</formula>
    </cfRule>
  </conditionalFormatting>
  <pageMargins left="0.25" right="0.25" top="0.75" bottom="0.75" header="0.3" footer="0.3"/>
  <pageSetup scale="74" orientation="landscape" horizontalDpi="4294967292" verticalDpi="1200" r:id="rId1"/>
  <colBreaks count="1" manualBreakCount="1">
    <brk id="17"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Drop Down 1">
              <controlPr defaultSize="0" autoLine="0" autoPict="0">
                <anchor moveWithCells="1">
                  <from>
                    <xdr:col>3</xdr:col>
                    <xdr:colOff>0</xdr:colOff>
                    <xdr:row>21</xdr:row>
                    <xdr:rowOff>0</xdr:rowOff>
                  </from>
                  <to>
                    <xdr:col>4</xdr:col>
                    <xdr:colOff>335280</xdr:colOff>
                    <xdr:row>21</xdr:row>
                    <xdr:rowOff>228600</xdr:rowOff>
                  </to>
                </anchor>
              </controlPr>
            </control>
          </mc:Choice>
        </mc:AlternateContent>
        <mc:AlternateContent xmlns:mc="http://schemas.openxmlformats.org/markup-compatibility/2006">
          <mc:Choice Requires="x14">
            <control shapeId="9218" r:id="rId5" name="Clear Cooperator Data">
              <controlPr defaultSize="0" print="0" autoFill="0" autoPict="0" macro="[0]!ClearPWS">
                <anchor moveWithCells="1">
                  <from>
                    <xdr:col>5</xdr:col>
                    <xdr:colOff>525780</xdr:colOff>
                    <xdr:row>6</xdr:row>
                    <xdr:rowOff>30480</xdr:rowOff>
                  </from>
                  <to>
                    <xdr:col>6</xdr:col>
                    <xdr:colOff>464820</xdr:colOff>
                    <xdr:row>7</xdr:row>
                    <xdr:rowOff>83820</xdr:rowOff>
                  </to>
                </anchor>
              </controlPr>
            </control>
          </mc:Choice>
        </mc:AlternateContent>
        <mc:AlternateContent xmlns:mc="http://schemas.openxmlformats.org/markup-compatibility/2006">
          <mc:Choice Requires="x14">
            <control shapeId="9219" r:id="rId6" name="Button 3">
              <controlPr defaultSize="0" print="0" autoFill="0" autoPict="0" macro="[0]!PrintPWS">
                <anchor moveWithCells="1">
                  <from>
                    <xdr:col>5</xdr:col>
                    <xdr:colOff>464820</xdr:colOff>
                    <xdr:row>4</xdr:row>
                    <xdr:rowOff>76200</xdr:rowOff>
                  </from>
                  <to>
                    <xdr:col>6</xdr:col>
                    <xdr:colOff>495300</xdr:colOff>
                    <xdr:row>5</xdr:row>
                    <xdr:rowOff>121920</xdr:rowOff>
                  </to>
                </anchor>
              </controlPr>
            </control>
          </mc:Choice>
        </mc:AlternateContent>
        <mc:AlternateContent xmlns:mc="http://schemas.openxmlformats.org/markup-compatibility/2006">
          <mc:Choice Requires="x14">
            <control shapeId="9220" r:id="rId7" name="Drop Down 4">
              <controlPr defaultSize="0" autoLine="0" autoPict="0">
                <anchor moveWithCells="1">
                  <from>
                    <xdr:col>9</xdr:col>
                    <xdr:colOff>0</xdr:colOff>
                    <xdr:row>21</xdr:row>
                    <xdr:rowOff>0</xdr:rowOff>
                  </from>
                  <to>
                    <xdr:col>10</xdr:col>
                    <xdr:colOff>22860</xdr:colOff>
                    <xdr:row>21</xdr:row>
                    <xdr:rowOff>213360</xdr:rowOff>
                  </to>
                </anchor>
              </controlPr>
            </control>
          </mc:Choice>
        </mc:AlternateContent>
        <mc:AlternateContent xmlns:mc="http://schemas.openxmlformats.org/markup-compatibility/2006">
          <mc:Choice Requires="x14">
            <control shapeId="9221" r:id="rId8" name="Drop Down 5">
              <controlPr defaultSize="0" autoLine="0" autoPict="0">
                <anchor moveWithCells="1">
                  <from>
                    <xdr:col>3</xdr:col>
                    <xdr:colOff>0</xdr:colOff>
                    <xdr:row>65556</xdr:row>
                    <xdr:rowOff>0</xdr:rowOff>
                  </from>
                  <to>
                    <xdr:col>4</xdr:col>
                    <xdr:colOff>335280</xdr:colOff>
                    <xdr:row>65557</xdr:row>
                    <xdr:rowOff>68580</xdr:rowOff>
                  </to>
                </anchor>
              </controlPr>
            </control>
          </mc:Choice>
        </mc:AlternateContent>
        <mc:AlternateContent xmlns:mc="http://schemas.openxmlformats.org/markup-compatibility/2006">
          <mc:Choice Requires="x14">
            <control shapeId="9222" r:id="rId9" name="Button 6">
              <controlPr defaultSize="0" print="0" autoFill="0" autoPict="0">
                <anchor moveWithCells="1">
                  <from>
                    <xdr:col>5</xdr:col>
                    <xdr:colOff>525780</xdr:colOff>
                    <xdr:row>65541</xdr:row>
                    <xdr:rowOff>30480</xdr:rowOff>
                  </from>
                  <to>
                    <xdr:col>6</xdr:col>
                    <xdr:colOff>464820</xdr:colOff>
                    <xdr:row>65542</xdr:row>
                    <xdr:rowOff>83820</xdr:rowOff>
                  </to>
                </anchor>
              </controlPr>
            </control>
          </mc:Choice>
        </mc:AlternateContent>
        <mc:AlternateContent xmlns:mc="http://schemas.openxmlformats.org/markup-compatibility/2006">
          <mc:Choice Requires="x14">
            <control shapeId="9223" r:id="rId10" name="Button 7">
              <controlPr defaultSize="0" print="0" autoFill="0" autoPict="0">
                <anchor moveWithCells="1">
                  <from>
                    <xdr:col>5</xdr:col>
                    <xdr:colOff>464820</xdr:colOff>
                    <xdr:row>65539</xdr:row>
                    <xdr:rowOff>76200</xdr:rowOff>
                  </from>
                  <to>
                    <xdr:col>6</xdr:col>
                    <xdr:colOff>495300</xdr:colOff>
                    <xdr:row>65540</xdr:row>
                    <xdr:rowOff>121920</xdr:rowOff>
                  </to>
                </anchor>
              </controlPr>
            </control>
          </mc:Choice>
        </mc:AlternateContent>
        <mc:AlternateContent xmlns:mc="http://schemas.openxmlformats.org/markup-compatibility/2006">
          <mc:Choice Requires="x14">
            <control shapeId="9224" r:id="rId11" name="Drop Down 8">
              <controlPr defaultSize="0" autoLine="0" autoPict="0">
                <anchor moveWithCells="1">
                  <from>
                    <xdr:col>9</xdr:col>
                    <xdr:colOff>0</xdr:colOff>
                    <xdr:row>65555</xdr:row>
                    <xdr:rowOff>0</xdr:rowOff>
                  </from>
                  <to>
                    <xdr:col>10</xdr:col>
                    <xdr:colOff>22860</xdr:colOff>
                    <xdr:row>65556</xdr:row>
                    <xdr:rowOff>45720</xdr:rowOff>
                  </to>
                </anchor>
              </controlPr>
            </control>
          </mc:Choice>
        </mc:AlternateContent>
        <mc:AlternateContent xmlns:mc="http://schemas.openxmlformats.org/markup-compatibility/2006">
          <mc:Choice Requires="x14">
            <control shapeId="9225" r:id="rId12" name="Drop Down 9">
              <controlPr defaultSize="0" autoLine="0" autoPict="0">
                <anchor moveWithCells="1">
                  <from>
                    <xdr:col>3</xdr:col>
                    <xdr:colOff>0</xdr:colOff>
                    <xdr:row>131092</xdr:row>
                    <xdr:rowOff>0</xdr:rowOff>
                  </from>
                  <to>
                    <xdr:col>4</xdr:col>
                    <xdr:colOff>335280</xdr:colOff>
                    <xdr:row>131093</xdr:row>
                    <xdr:rowOff>68580</xdr:rowOff>
                  </to>
                </anchor>
              </controlPr>
            </control>
          </mc:Choice>
        </mc:AlternateContent>
        <mc:AlternateContent xmlns:mc="http://schemas.openxmlformats.org/markup-compatibility/2006">
          <mc:Choice Requires="x14">
            <control shapeId="9226" r:id="rId13" name="Button 10">
              <controlPr defaultSize="0" print="0" autoFill="0" autoPict="0">
                <anchor moveWithCells="1">
                  <from>
                    <xdr:col>5</xdr:col>
                    <xdr:colOff>525780</xdr:colOff>
                    <xdr:row>131077</xdr:row>
                    <xdr:rowOff>30480</xdr:rowOff>
                  </from>
                  <to>
                    <xdr:col>6</xdr:col>
                    <xdr:colOff>464820</xdr:colOff>
                    <xdr:row>131078</xdr:row>
                    <xdr:rowOff>83820</xdr:rowOff>
                  </to>
                </anchor>
              </controlPr>
            </control>
          </mc:Choice>
        </mc:AlternateContent>
        <mc:AlternateContent xmlns:mc="http://schemas.openxmlformats.org/markup-compatibility/2006">
          <mc:Choice Requires="x14">
            <control shapeId="9227" r:id="rId14" name="Button 11">
              <controlPr defaultSize="0" print="0" autoFill="0" autoPict="0">
                <anchor moveWithCells="1">
                  <from>
                    <xdr:col>5</xdr:col>
                    <xdr:colOff>464820</xdr:colOff>
                    <xdr:row>131075</xdr:row>
                    <xdr:rowOff>76200</xdr:rowOff>
                  </from>
                  <to>
                    <xdr:col>6</xdr:col>
                    <xdr:colOff>495300</xdr:colOff>
                    <xdr:row>131076</xdr:row>
                    <xdr:rowOff>121920</xdr:rowOff>
                  </to>
                </anchor>
              </controlPr>
            </control>
          </mc:Choice>
        </mc:AlternateContent>
        <mc:AlternateContent xmlns:mc="http://schemas.openxmlformats.org/markup-compatibility/2006">
          <mc:Choice Requires="x14">
            <control shapeId="9228" r:id="rId15" name="Drop Down 12">
              <controlPr defaultSize="0" autoLine="0" autoPict="0">
                <anchor moveWithCells="1">
                  <from>
                    <xdr:col>9</xdr:col>
                    <xdr:colOff>0</xdr:colOff>
                    <xdr:row>131091</xdr:row>
                    <xdr:rowOff>0</xdr:rowOff>
                  </from>
                  <to>
                    <xdr:col>10</xdr:col>
                    <xdr:colOff>22860</xdr:colOff>
                    <xdr:row>131092</xdr:row>
                    <xdr:rowOff>45720</xdr:rowOff>
                  </to>
                </anchor>
              </controlPr>
            </control>
          </mc:Choice>
        </mc:AlternateContent>
        <mc:AlternateContent xmlns:mc="http://schemas.openxmlformats.org/markup-compatibility/2006">
          <mc:Choice Requires="x14">
            <control shapeId="9229" r:id="rId16" name="Drop Down 13">
              <controlPr defaultSize="0" autoLine="0" autoPict="0">
                <anchor moveWithCells="1">
                  <from>
                    <xdr:col>3</xdr:col>
                    <xdr:colOff>0</xdr:colOff>
                    <xdr:row>196628</xdr:row>
                    <xdr:rowOff>0</xdr:rowOff>
                  </from>
                  <to>
                    <xdr:col>4</xdr:col>
                    <xdr:colOff>335280</xdr:colOff>
                    <xdr:row>196629</xdr:row>
                    <xdr:rowOff>68580</xdr:rowOff>
                  </to>
                </anchor>
              </controlPr>
            </control>
          </mc:Choice>
        </mc:AlternateContent>
        <mc:AlternateContent xmlns:mc="http://schemas.openxmlformats.org/markup-compatibility/2006">
          <mc:Choice Requires="x14">
            <control shapeId="9230" r:id="rId17" name="Button 14">
              <controlPr defaultSize="0" print="0" autoFill="0" autoPict="0">
                <anchor moveWithCells="1">
                  <from>
                    <xdr:col>5</xdr:col>
                    <xdr:colOff>525780</xdr:colOff>
                    <xdr:row>196613</xdr:row>
                    <xdr:rowOff>30480</xdr:rowOff>
                  </from>
                  <to>
                    <xdr:col>6</xdr:col>
                    <xdr:colOff>464820</xdr:colOff>
                    <xdr:row>196614</xdr:row>
                    <xdr:rowOff>83820</xdr:rowOff>
                  </to>
                </anchor>
              </controlPr>
            </control>
          </mc:Choice>
        </mc:AlternateContent>
        <mc:AlternateContent xmlns:mc="http://schemas.openxmlformats.org/markup-compatibility/2006">
          <mc:Choice Requires="x14">
            <control shapeId="9231" r:id="rId18" name="Button 15">
              <controlPr defaultSize="0" print="0" autoFill="0" autoPict="0">
                <anchor moveWithCells="1">
                  <from>
                    <xdr:col>5</xdr:col>
                    <xdr:colOff>464820</xdr:colOff>
                    <xdr:row>196611</xdr:row>
                    <xdr:rowOff>76200</xdr:rowOff>
                  </from>
                  <to>
                    <xdr:col>6</xdr:col>
                    <xdr:colOff>495300</xdr:colOff>
                    <xdr:row>196612</xdr:row>
                    <xdr:rowOff>121920</xdr:rowOff>
                  </to>
                </anchor>
              </controlPr>
            </control>
          </mc:Choice>
        </mc:AlternateContent>
        <mc:AlternateContent xmlns:mc="http://schemas.openxmlformats.org/markup-compatibility/2006">
          <mc:Choice Requires="x14">
            <control shapeId="9232" r:id="rId19" name="Drop Down 16">
              <controlPr defaultSize="0" autoLine="0" autoPict="0">
                <anchor moveWithCells="1">
                  <from>
                    <xdr:col>9</xdr:col>
                    <xdr:colOff>0</xdr:colOff>
                    <xdr:row>196627</xdr:row>
                    <xdr:rowOff>0</xdr:rowOff>
                  </from>
                  <to>
                    <xdr:col>10</xdr:col>
                    <xdr:colOff>22860</xdr:colOff>
                    <xdr:row>196628</xdr:row>
                    <xdr:rowOff>45720</xdr:rowOff>
                  </to>
                </anchor>
              </controlPr>
            </control>
          </mc:Choice>
        </mc:AlternateContent>
        <mc:AlternateContent xmlns:mc="http://schemas.openxmlformats.org/markup-compatibility/2006">
          <mc:Choice Requires="x14">
            <control shapeId="9233" r:id="rId20" name="Drop Down 17">
              <controlPr defaultSize="0" autoLine="0" autoPict="0">
                <anchor moveWithCells="1">
                  <from>
                    <xdr:col>3</xdr:col>
                    <xdr:colOff>0</xdr:colOff>
                    <xdr:row>262164</xdr:row>
                    <xdr:rowOff>0</xdr:rowOff>
                  </from>
                  <to>
                    <xdr:col>4</xdr:col>
                    <xdr:colOff>335280</xdr:colOff>
                    <xdr:row>262165</xdr:row>
                    <xdr:rowOff>68580</xdr:rowOff>
                  </to>
                </anchor>
              </controlPr>
            </control>
          </mc:Choice>
        </mc:AlternateContent>
        <mc:AlternateContent xmlns:mc="http://schemas.openxmlformats.org/markup-compatibility/2006">
          <mc:Choice Requires="x14">
            <control shapeId="9234" r:id="rId21" name="Button 18">
              <controlPr defaultSize="0" print="0" autoFill="0" autoPict="0">
                <anchor moveWithCells="1">
                  <from>
                    <xdr:col>5</xdr:col>
                    <xdr:colOff>525780</xdr:colOff>
                    <xdr:row>262149</xdr:row>
                    <xdr:rowOff>30480</xdr:rowOff>
                  </from>
                  <to>
                    <xdr:col>6</xdr:col>
                    <xdr:colOff>464820</xdr:colOff>
                    <xdr:row>262150</xdr:row>
                    <xdr:rowOff>83820</xdr:rowOff>
                  </to>
                </anchor>
              </controlPr>
            </control>
          </mc:Choice>
        </mc:AlternateContent>
        <mc:AlternateContent xmlns:mc="http://schemas.openxmlformats.org/markup-compatibility/2006">
          <mc:Choice Requires="x14">
            <control shapeId="9235" r:id="rId22" name="Button 19">
              <controlPr defaultSize="0" print="0" autoFill="0" autoPict="0">
                <anchor moveWithCells="1">
                  <from>
                    <xdr:col>5</xdr:col>
                    <xdr:colOff>464820</xdr:colOff>
                    <xdr:row>262147</xdr:row>
                    <xdr:rowOff>76200</xdr:rowOff>
                  </from>
                  <to>
                    <xdr:col>6</xdr:col>
                    <xdr:colOff>495300</xdr:colOff>
                    <xdr:row>262148</xdr:row>
                    <xdr:rowOff>121920</xdr:rowOff>
                  </to>
                </anchor>
              </controlPr>
            </control>
          </mc:Choice>
        </mc:AlternateContent>
        <mc:AlternateContent xmlns:mc="http://schemas.openxmlformats.org/markup-compatibility/2006">
          <mc:Choice Requires="x14">
            <control shapeId="9236" r:id="rId23" name="Drop Down 20">
              <controlPr defaultSize="0" autoLine="0" autoPict="0">
                <anchor moveWithCells="1">
                  <from>
                    <xdr:col>9</xdr:col>
                    <xdr:colOff>0</xdr:colOff>
                    <xdr:row>262163</xdr:row>
                    <xdr:rowOff>0</xdr:rowOff>
                  </from>
                  <to>
                    <xdr:col>10</xdr:col>
                    <xdr:colOff>22860</xdr:colOff>
                    <xdr:row>262164</xdr:row>
                    <xdr:rowOff>45720</xdr:rowOff>
                  </to>
                </anchor>
              </controlPr>
            </control>
          </mc:Choice>
        </mc:AlternateContent>
        <mc:AlternateContent xmlns:mc="http://schemas.openxmlformats.org/markup-compatibility/2006">
          <mc:Choice Requires="x14">
            <control shapeId="9237" r:id="rId24" name="Drop Down 21">
              <controlPr defaultSize="0" autoLine="0" autoPict="0">
                <anchor moveWithCells="1">
                  <from>
                    <xdr:col>3</xdr:col>
                    <xdr:colOff>0</xdr:colOff>
                    <xdr:row>327700</xdr:row>
                    <xdr:rowOff>0</xdr:rowOff>
                  </from>
                  <to>
                    <xdr:col>4</xdr:col>
                    <xdr:colOff>335280</xdr:colOff>
                    <xdr:row>327701</xdr:row>
                    <xdr:rowOff>68580</xdr:rowOff>
                  </to>
                </anchor>
              </controlPr>
            </control>
          </mc:Choice>
        </mc:AlternateContent>
        <mc:AlternateContent xmlns:mc="http://schemas.openxmlformats.org/markup-compatibility/2006">
          <mc:Choice Requires="x14">
            <control shapeId="9238" r:id="rId25" name="Button 22">
              <controlPr defaultSize="0" print="0" autoFill="0" autoPict="0">
                <anchor moveWithCells="1">
                  <from>
                    <xdr:col>5</xdr:col>
                    <xdr:colOff>525780</xdr:colOff>
                    <xdr:row>327685</xdr:row>
                    <xdr:rowOff>30480</xdr:rowOff>
                  </from>
                  <to>
                    <xdr:col>6</xdr:col>
                    <xdr:colOff>464820</xdr:colOff>
                    <xdr:row>327686</xdr:row>
                    <xdr:rowOff>83820</xdr:rowOff>
                  </to>
                </anchor>
              </controlPr>
            </control>
          </mc:Choice>
        </mc:AlternateContent>
        <mc:AlternateContent xmlns:mc="http://schemas.openxmlformats.org/markup-compatibility/2006">
          <mc:Choice Requires="x14">
            <control shapeId="9239" r:id="rId26" name="Button 23">
              <controlPr defaultSize="0" print="0" autoFill="0" autoPict="0">
                <anchor moveWithCells="1">
                  <from>
                    <xdr:col>5</xdr:col>
                    <xdr:colOff>464820</xdr:colOff>
                    <xdr:row>327683</xdr:row>
                    <xdr:rowOff>76200</xdr:rowOff>
                  </from>
                  <to>
                    <xdr:col>6</xdr:col>
                    <xdr:colOff>495300</xdr:colOff>
                    <xdr:row>327684</xdr:row>
                    <xdr:rowOff>121920</xdr:rowOff>
                  </to>
                </anchor>
              </controlPr>
            </control>
          </mc:Choice>
        </mc:AlternateContent>
        <mc:AlternateContent xmlns:mc="http://schemas.openxmlformats.org/markup-compatibility/2006">
          <mc:Choice Requires="x14">
            <control shapeId="9240" r:id="rId27" name="Drop Down 24">
              <controlPr defaultSize="0" autoLine="0" autoPict="0">
                <anchor moveWithCells="1">
                  <from>
                    <xdr:col>9</xdr:col>
                    <xdr:colOff>0</xdr:colOff>
                    <xdr:row>327699</xdr:row>
                    <xdr:rowOff>0</xdr:rowOff>
                  </from>
                  <to>
                    <xdr:col>10</xdr:col>
                    <xdr:colOff>22860</xdr:colOff>
                    <xdr:row>327700</xdr:row>
                    <xdr:rowOff>45720</xdr:rowOff>
                  </to>
                </anchor>
              </controlPr>
            </control>
          </mc:Choice>
        </mc:AlternateContent>
        <mc:AlternateContent xmlns:mc="http://schemas.openxmlformats.org/markup-compatibility/2006">
          <mc:Choice Requires="x14">
            <control shapeId="9241" r:id="rId28" name="Drop Down 25">
              <controlPr defaultSize="0" autoLine="0" autoPict="0">
                <anchor moveWithCells="1">
                  <from>
                    <xdr:col>3</xdr:col>
                    <xdr:colOff>0</xdr:colOff>
                    <xdr:row>393236</xdr:row>
                    <xdr:rowOff>0</xdr:rowOff>
                  </from>
                  <to>
                    <xdr:col>4</xdr:col>
                    <xdr:colOff>335280</xdr:colOff>
                    <xdr:row>393237</xdr:row>
                    <xdr:rowOff>68580</xdr:rowOff>
                  </to>
                </anchor>
              </controlPr>
            </control>
          </mc:Choice>
        </mc:AlternateContent>
        <mc:AlternateContent xmlns:mc="http://schemas.openxmlformats.org/markup-compatibility/2006">
          <mc:Choice Requires="x14">
            <control shapeId="9242" r:id="rId29" name="Button 26">
              <controlPr defaultSize="0" print="0" autoFill="0" autoPict="0">
                <anchor moveWithCells="1">
                  <from>
                    <xdr:col>5</xdr:col>
                    <xdr:colOff>525780</xdr:colOff>
                    <xdr:row>393221</xdr:row>
                    <xdr:rowOff>30480</xdr:rowOff>
                  </from>
                  <to>
                    <xdr:col>6</xdr:col>
                    <xdr:colOff>464820</xdr:colOff>
                    <xdr:row>393222</xdr:row>
                    <xdr:rowOff>83820</xdr:rowOff>
                  </to>
                </anchor>
              </controlPr>
            </control>
          </mc:Choice>
        </mc:AlternateContent>
        <mc:AlternateContent xmlns:mc="http://schemas.openxmlformats.org/markup-compatibility/2006">
          <mc:Choice Requires="x14">
            <control shapeId="9243" r:id="rId30" name="Button 27">
              <controlPr defaultSize="0" print="0" autoFill="0" autoPict="0">
                <anchor moveWithCells="1">
                  <from>
                    <xdr:col>5</xdr:col>
                    <xdr:colOff>464820</xdr:colOff>
                    <xdr:row>393219</xdr:row>
                    <xdr:rowOff>76200</xdr:rowOff>
                  </from>
                  <to>
                    <xdr:col>6</xdr:col>
                    <xdr:colOff>495300</xdr:colOff>
                    <xdr:row>393220</xdr:row>
                    <xdr:rowOff>121920</xdr:rowOff>
                  </to>
                </anchor>
              </controlPr>
            </control>
          </mc:Choice>
        </mc:AlternateContent>
        <mc:AlternateContent xmlns:mc="http://schemas.openxmlformats.org/markup-compatibility/2006">
          <mc:Choice Requires="x14">
            <control shapeId="9244" r:id="rId31" name="Drop Down 28">
              <controlPr defaultSize="0" autoLine="0" autoPict="0">
                <anchor moveWithCells="1">
                  <from>
                    <xdr:col>9</xdr:col>
                    <xdr:colOff>0</xdr:colOff>
                    <xdr:row>393235</xdr:row>
                    <xdr:rowOff>0</xdr:rowOff>
                  </from>
                  <to>
                    <xdr:col>10</xdr:col>
                    <xdr:colOff>22860</xdr:colOff>
                    <xdr:row>393236</xdr:row>
                    <xdr:rowOff>45720</xdr:rowOff>
                  </to>
                </anchor>
              </controlPr>
            </control>
          </mc:Choice>
        </mc:AlternateContent>
        <mc:AlternateContent xmlns:mc="http://schemas.openxmlformats.org/markup-compatibility/2006">
          <mc:Choice Requires="x14">
            <control shapeId="9245" r:id="rId32" name="Drop Down 29">
              <controlPr defaultSize="0" autoLine="0" autoPict="0">
                <anchor moveWithCells="1">
                  <from>
                    <xdr:col>3</xdr:col>
                    <xdr:colOff>0</xdr:colOff>
                    <xdr:row>458772</xdr:row>
                    <xdr:rowOff>0</xdr:rowOff>
                  </from>
                  <to>
                    <xdr:col>4</xdr:col>
                    <xdr:colOff>335280</xdr:colOff>
                    <xdr:row>458773</xdr:row>
                    <xdr:rowOff>68580</xdr:rowOff>
                  </to>
                </anchor>
              </controlPr>
            </control>
          </mc:Choice>
        </mc:AlternateContent>
        <mc:AlternateContent xmlns:mc="http://schemas.openxmlformats.org/markup-compatibility/2006">
          <mc:Choice Requires="x14">
            <control shapeId="9246" r:id="rId33" name="Button 30">
              <controlPr defaultSize="0" print="0" autoFill="0" autoPict="0">
                <anchor moveWithCells="1">
                  <from>
                    <xdr:col>5</xdr:col>
                    <xdr:colOff>525780</xdr:colOff>
                    <xdr:row>458757</xdr:row>
                    <xdr:rowOff>30480</xdr:rowOff>
                  </from>
                  <to>
                    <xdr:col>6</xdr:col>
                    <xdr:colOff>464820</xdr:colOff>
                    <xdr:row>458758</xdr:row>
                    <xdr:rowOff>83820</xdr:rowOff>
                  </to>
                </anchor>
              </controlPr>
            </control>
          </mc:Choice>
        </mc:AlternateContent>
        <mc:AlternateContent xmlns:mc="http://schemas.openxmlformats.org/markup-compatibility/2006">
          <mc:Choice Requires="x14">
            <control shapeId="9247" r:id="rId34" name="Button 31">
              <controlPr defaultSize="0" print="0" autoFill="0" autoPict="0">
                <anchor moveWithCells="1">
                  <from>
                    <xdr:col>5</xdr:col>
                    <xdr:colOff>464820</xdr:colOff>
                    <xdr:row>458755</xdr:row>
                    <xdr:rowOff>76200</xdr:rowOff>
                  </from>
                  <to>
                    <xdr:col>6</xdr:col>
                    <xdr:colOff>495300</xdr:colOff>
                    <xdr:row>458756</xdr:row>
                    <xdr:rowOff>121920</xdr:rowOff>
                  </to>
                </anchor>
              </controlPr>
            </control>
          </mc:Choice>
        </mc:AlternateContent>
        <mc:AlternateContent xmlns:mc="http://schemas.openxmlformats.org/markup-compatibility/2006">
          <mc:Choice Requires="x14">
            <control shapeId="9248" r:id="rId35" name="Drop Down 32">
              <controlPr defaultSize="0" autoLine="0" autoPict="0">
                <anchor moveWithCells="1">
                  <from>
                    <xdr:col>9</xdr:col>
                    <xdr:colOff>0</xdr:colOff>
                    <xdr:row>458771</xdr:row>
                    <xdr:rowOff>0</xdr:rowOff>
                  </from>
                  <to>
                    <xdr:col>10</xdr:col>
                    <xdr:colOff>22860</xdr:colOff>
                    <xdr:row>458772</xdr:row>
                    <xdr:rowOff>45720</xdr:rowOff>
                  </to>
                </anchor>
              </controlPr>
            </control>
          </mc:Choice>
        </mc:AlternateContent>
        <mc:AlternateContent xmlns:mc="http://schemas.openxmlformats.org/markup-compatibility/2006">
          <mc:Choice Requires="x14">
            <control shapeId="9249" r:id="rId36" name="Drop Down 33">
              <controlPr defaultSize="0" autoLine="0" autoPict="0">
                <anchor moveWithCells="1">
                  <from>
                    <xdr:col>3</xdr:col>
                    <xdr:colOff>0</xdr:colOff>
                    <xdr:row>524308</xdr:row>
                    <xdr:rowOff>0</xdr:rowOff>
                  </from>
                  <to>
                    <xdr:col>4</xdr:col>
                    <xdr:colOff>335280</xdr:colOff>
                    <xdr:row>524309</xdr:row>
                    <xdr:rowOff>68580</xdr:rowOff>
                  </to>
                </anchor>
              </controlPr>
            </control>
          </mc:Choice>
        </mc:AlternateContent>
        <mc:AlternateContent xmlns:mc="http://schemas.openxmlformats.org/markup-compatibility/2006">
          <mc:Choice Requires="x14">
            <control shapeId="9250" r:id="rId37" name="Button 34">
              <controlPr defaultSize="0" print="0" autoFill="0" autoPict="0">
                <anchor moveWithCells="1">
                  <from>
                    <xdr:col>5</xdr:col>
                    <xdr:colOff>525780</xdr:colOff>
                    <xdr:row>524293</xdr:row>
                    <xdr:rowOff>30480</xdr:rowOff>
                  </from>
                  <to>
                    <xdr:col>6</xdr:col>
                    <xdr:colOff>464820</xdr:colOff>
                    <xdr:row>524294</xdr:row>
                    <xdr:rowOff>83820</xdr:rowOff>
                  </to>
                </anchor>
              </controlPr>
            </control>
          </mc:Choice>
        </mc:AlternateContent>
        <mc:AlternateContent xmlns:mc="http://schemas.openxmlformats.org/markup-compatibility/2006">
          <mc:Choice Requires="x14">
            <control shapeId="9251" r:id="rId38" name="Button 35">
              <controlPr defaultSize="0" print="0" autoFill="0" autoPict="0">
                <anchor moveWithCells="1">
                  <from>
                    <xdr:col>5</xdr:col>
                    <xdr:colOff>464820</xdr:colOff>
                    <xdr:row>524291</xdr:row>
                    <xdr:rowOff>76200</xdr:rowOff>
                  </from>
                  <to>
                    <xdr:col>6</xdr:col>
                    <xdr:colOff>495300</xdr:colOff>
                    <xdr:row>524292</xdr:row>
                    <xdr:rowOff>121920</xdr:rowOff>
                  </to>
                </anchor>
              </controlPr>
            </control>
          </mc:Choice>
        </mc:AlternateContent>
        <mc:AlternateContent xmlns:mc="http://schemas.openxmlformats.org/markup-compatibility/2006">
          <mc:Choice Requires="x14">
            <control shapeId="9252" r:id="rId39" name="Drop Down 36">
              <controlPr defaultSize="0" autoLine="0" autoPict="0">
                <anchor moveWithCells="1">
                  <from>
                    <xdr:col>9</xdr:col>
                    <xdr:colOff>0</xdr:colOff>
                    <xdr:row>524307</xdr:row>
                    <xdr:rowOff>0</xdr:rowOff>
                  </from>
                  <to>
                    <xdr:col>10</xdr:col>
                    <xdr:colOff>22860</xdr:colOff>
                    <xdr:row>524308</xdr:row>
                    <xdr:rowOff>45720</xdr:rowOff>
                  </to>
                </anchor>
              </controlPr>
            </control>
          </mc:Choice>
        </mc:AlternateContent>
        <mc:AlternateContent xmlns:mc="http://schemas.openxmlformats.org/markup-compatibility/2006">
          <mc:Choice Requires="x14">
            <control shapeId="9253" r:id="rId40" name="Drop Down 37">
              <controlPr defaultSize="0" autoLine="0" autoPict="0">
                <anchor moveWithCells="1">
                  <from>
                    <xdr:col>3</xdr:col>
                    <xdr:colOff>0</xdr:colOff>
                    <xdr:row>589844</xdr:row>
                    <xdr:rowOff>0</xdr:rowOff>
                  </from>
                  <to>
                    <xdr:col>4</xdr:col>
                    <xdr:colOff>335280</xdr:colOff>
                    <xdr:row>589845</xdr:row>
                    <xdr:rowOff>68580</xdr:rowOff>
                  </to>
                </anchor>
              </controlPr>
            </control>
          </mc:Choice>
        </mc:AlternateContent>
        <mc:AlternateContent xmlns:mc="http://schemas.openxmlformats.org/markup-compatibility/2006">
          <mc:Choice Requires="x14">
            <control shapeId="9254" r:id="rId41" name="Button 38">
              <controlPr defaultSize="0" print="0" autoFill="0" autoPict="0">
                <anchor moveWithCells="1">
                  <from>
                    <xdr:col>5</xdr:col>
                    <xdr:colOff>525780</xdr:colOff>
                    <xdr:row>589829</xdr:row>
                    <xdr:rowOff>30480</xdr:rowOff>
                  </from>
                  <to>
                    <xdr:col>6</xdr:col>
                    <xdr:colOff>464820</xdr:colOff>
                    <xdr:row>589830</xdr:row>
                    <xdr:rowOff>83820</xdr:rowOff>
                  </to>
                </anchor>
              </controlPr>
            </control>
          </mc:Choice>
        </mc:AlternateContent>
        <mc:AlternateContent xmlns:mc="http://schemas.openxmlformats.org/markup-compatibility/2006">
          <mc:Choice Requires="x14">
            <control shapeId="9255" r:id="rId42" name="Button 39">
              <controlPr defaultSize="0" print="0" autoFill="0" autoPict="0">
                <anchor moveWithCells="1">
                  <from>
                    <xdr:col>5</xdr:col>
                    <xdr:colOff>464820</xdr:colOff>
                    <xdr:row>589827</xdr:row>
                    <xdr:rowOff>76200</xdr:rowOff>
                  </from>
                  <to>
                    <xdr:col>6</xdr:col>
                    <xdr:colOff>495300</xdr:colOff>
                    <xdr:row>589828</xdr:row>
                    <xdr:rowOff>121920</xdr:rowOff>
                  </to>
                </anchor>
              </controlPr>
            </control>
          </mc:Choice>
        </mc:AlternateContent>
        <mc:AlternateContent xmlns:mc="http://schemas.openxmlformats.org/markup-compatibility/2006">
          <mc:Choice Requires="x14">
            <control shapeId="9256" r:id="rId43" name="Drop Down 40">
              <controlPr defaultSize="0" autoLine="0" autoPict="0">
                <anchor moveWithCells="1">
                  <from>
                    <xdr:col>9</xdr:col>
                    <xdr:colOff>0</xdr:colOff>
                    <xdr:row>589843</xdr:row>
                    <xdr:rowOff>0</xdr:rowOff>
                  </from>
                  <to>
                    <xdr:col>10</xdr:col>
                    <xdr:colOff>22860</xdr:colOff>
                    <xdr:row>589844</xdr:row>
                    <xdr:rowOff>45720</xdr:rowOff>
                  </to>
                </anchor>
              </controlPr>
            </control>
          </mc:Choice>
        </mc:AlternateContent>
        <mc:AlternateContent xmlns:mc="http://schemas.openxmlformats.org/markup-compatibility/2006">
          <mc:Choice Requires="x14">
            <control shapeId="9257" r:id="rId44" name="Drop Down 41">
              <controlPr defaultSize="0" autoLine="0" autoPict="0">
                <anchor moveWithCells="1">
                  <from>
                    <xdr:col>3</xdr:col>
                    <xdr:colOff>0</xdr:colOff>
                    <xdr:row>655380</xdr:row>
                    <xdr:rowOff>0</xdr:rowOff>
                  </from>
                  <to>
                    <xdr:col>4</xdr:col>
                    <xdr:colOff>335280</xdr:colOff>
                    <xdr:row>655381</xdr:row>
                    <xdr:rowOff>68580</xdr:rowOff>
                  </to>
                </anchor>
              </controlPr>
            </control>
          </mc:Choice>
        </mc:AlternateContent>
        <mc:AlternateContent xmlns:mc="http://schemas.openxmlformats.org/markup-compatibility/2006">
          <mc:Choice Requires="x14">
            <control shapeId="9258" r:id="rId45" name="Button 42">
              <controlPr defaultSize="0" print="0" autoFill="0" autoPict="0">
                <anchor moveWithCells="1">
                  <from>
                    <xdr:col>5</xdr:col>
                    <xdr:colOff>525780</xdr:colOff>
                    <xdr:row>655365</xdr:row>
                    <xdr:rowOff>30480</xdr:rowOff>
                  </from>
                  <to>
                    <xdr:col>6</xdr:col>
                    <xdr:colOff>464820</xdr:colOff>
                    <xdr:row>655366</xdr:row>
                    <xdr:rowOff>83820</xdr:rowOff>
                  </to>
                </anchor>
              </controlPr>
            </control>
          </mc:Choice>
        </mc:AlternateContent>
        <mc:AlternateContent xmlns:mc="http://schemas.openxmlformats.org/markup-compatibility/2006">
          <mc:Choice Requires="x14">
            <control shapeId="9259" r:id="rId46" name="Button 43">
              <controlPr defaultSize="0" print="0" autoFill="0" autoPict="0">
                <anchor moveWithCells="1">
                  <from>
                    <xdr:col>5</xdr:col>
                    <xdr:colOff>464820</xdr:colOff>
                    <xdr:row>655363</xdr:row>
                    <xdr:rowOff>76200</xdr:rowOff>
                  </from>
                  <to>
                    <xdr:col>6</xdr:col>
                    <xdr:colOff>495300</xdr:colOff>
                    <xdr:row>655364</xdr:row>
                    <xdr:rowOff>121920</xdr:rowOff>
                  </to>
                </anchor>
              </controlPr>
            </control>
          </mc:Choice>
        </mc:AlternateContent>
        <mc:AlternateContent xmlns:mc="http://schemas.openxmlformats.org/markup-compatibility/2006">
          <mc:Choice Requires="x14">
            <control shapeId="9260" r:id="rId47" name="Drop Down 44">
              <controlPr defaultSize="0" autoLine="0" autoPict="0">
                <anchor moveWithCells="1">
                  <from>
                    <xdr:col>9</xdr:col>
                    <xdr:colOff>0</xdr:colOff>
                    <xdr:row>655379</xdr:row>
                    <xdr:rowOff>0</xdr:rowOff>
                  </from>
                  <to>
                    <xdr:col>10</xdr:col>
                    <xdr:colOff>22860</xdr:colOff>
                    <xdr:row>655380</xdr:row>
                    <xdr:rowOff>45720</xdr:rowOff>
                  </to>
                </anchor>
              </controlPr>
            </control>
          </mc:Choice>
        </mc:AlternateContent>
        <mc:AlternateContent xmlns:mc="http://schemas.openxmlformats.org/markup-compatibility/2006">
          <mc:Choice Requires="x14">
            <control shapeId="9261" r:id="rId48" name="Drop Down 45">
              <controlPr defaultSize="0" autoLine="0" autoPict="0">
                <anchor moveWithCells="1">
                  <from>
                    <xdr:col>3</xdr:col>
                    <xdr:colOff>0</xdr:colOff>
                    <xdr:row>720916</xdr:row>
                    <xdr:rowOff>0</xdr:rowOff>
                  </from>
                  <to>
                    <xdr:col>4</xdr:col>
                    <xdr:colOff>335280</xdr:colOff>
                    <xdr:row>720917</xdr:row>
                    <xdr:rowOff>68580</xdr:rowOff>
                  </to>
                </anchor>
              </controlPr>
            </control>
          </mc:Choice>
        </mc:AlternateContent>
        <mc:AlternateContent xmlns:mc="http://schemas.openxmlformats.org/markup-compatibility/2006">
          <mc:Choice Requires="x14">
            <control shapeId="9262" r:id="rId49" name="Button 46">
              <controlPr defaultSize="0" print="0" autoFill="0" autoPict="0">
                <anchor moveWithCells="1">
                  <from>
                    <xdr:col>5</xdr:col>
                    <xdr:colOff>525780</xdr:colOff>
                    <xdr:row>720901</xdr:row>
                    <xdr:rowOff>30480</xdr:rowOff>
                  </from>
                  <to>
                    <xdr:col>6</xdr:col>
                    <xdr:colOff>464820</xdr:colOff>
                    <xdr:row>720902</xdr:row>
                    <xdr:rowOff>83820</xdr:rowOff>
                  </to>
                </anchor>
              </controlPr>
            </control>
          </mc:Choice>
        </mc:AlternateContent>
        <mc:AlternateContent xmlns:mc="http://schemas.openxmlformats.org/markup-compatibility/2006">
          <mc:Choice Requires="x14">
            <control shapeId="9263" r:id="rId50" name="Button 47">
              <controlPr defaultSize="0" print="0" autoFill="0" autoPict="0">
                <anchor moveWithCells="1">
                  <from>
                    <xdr:col>5</xdr:col>
                    <xdr:colOff>464820</xdr:colOff>
                    <xdr:row>720899</xdr:row>
                    <xdr:rowOff>76200</xdr:rowOff>
                  </from>
                  <to>
                    <xdr:col>6</xdr:col>
                    <xdr:colOff>495300</xdr:colOff>
                    <xdr:row>720900</xdr:row>
                    <xdr:rowOff>121920</xdr:rowOff>
                  </to>
                </anchor>
              </controlPr>
            </control>
          </mc:Choice>
        </mc:AlternateContent>
        <mc:AlternateContent xmlns:mc="http://schemas.openxmlformats.org/markup-compatibility/2006">
          <mc:Choice Requires="x14">
            <control shapeId="9264" r:id="rId51" name="Drop Down 48">
              <controlPr defaultSize="0" autoLine="0" autoPict="0">
                <anchor moveWithCells="1">
                  <from>
                    <xdr:col>9</xdr:col>
                    <xdr:colOff>0</xdr:colOff>
                    <xdr:row>720915</xdr:row>
                    <xdr:rowOff>0</xdr:rowOff>
                  </from>
                  <to>
                    <xdr:col>10</xdr:col>
                    <xdr:colOff>22860</xdr:colOff>
                    <xdr:row>720916</xdr:row>
                    <xdr:rowOff>45720</xdr:rowOff>
                  </to>
                </anchor>
              </controlPr>
            </control>
          </mc:Choice>
        </mc:AlternateContent>
        <mc:AlternateContent xmlns:mc="http://schemas.openxmlformats.org/markup-compatibility/2006">
          <mc:Choice Requires="x14">
            <control shapeId="9265" r:id="rId52" name="Drop Down 49">
              <controlPr defaultSize="0" autoLine="0" autoPict="0">
                <anchor moveWithCells="1">
                  <from>
                    <xdr:col>3</xdr:col>
                    <xdr:colOff>0</xdr:colOff>
                    <xdr:row>786452</xdr:row>
                    <xdr:rowOff>0</xdr:rowOff>
                  </from>
                  <to>
                    <xdr:col>4</xdr:col>
                    <xdr:colOff>335280</xdr:colOff>
                    <xdr:row>786453</xdr:row>
                    <xdr:rowOff>68580</xdr:rowOff>
                  </to>
                </anchor>
              </controlPr>
            </control>
          </mc:Choice>
        </mc:AlternateContent>
        <mc:AlternateContent xmlns:mc="http://schemas.openxmlformats.org/markup-compatibility/2006">
          <mc:Choice Requires="x14">
            <control shapeId="9266" r:id="rId53" name="Button 50">
              <controlPr defaultSize="0" print="0" autoFill="0" autoPict="0">
                <anchor moveWithCells="1">
                  <from>
                    <xdr:col>5</xdr:col>
                    <xdr:colOff>525780</xdr:colOff>
                    <xdr:row>786437</xdr:row>
                    <xdr:rowOff>30480</xdr:rowOff>
                  </from>
                  <to>
                    <xdr:col>6</xdr:col>
                    <xdr:colOff>464820</xdr:colOff>
                    <xdr:row>786438</xdr:row>
                    <xdr:rowOff>83820</xdr:rowOff>
                  </to>
                </anchor>
              </controlPr>
            </control>
          </mc:Choice>
        </mc:AlternateContent>
        <mc:AlternateContent xmlns:mc="http://schemas.openxmlformats.org/markup-compatibility/2006">
          <mc:Choice Requires="x14">
            <control shapeId="9267" r:id="rId54" name="Button 51">
              <controlPr defaultSize="0" print="0" autoFill="0" autoPict="0">
                <anchor moveWithCells="1">
                  <from>
                    <xdr:col>5</xdr:col>
                    <xdr:colOff>464820</xdr:colOff>
                    <xdr:row>786435</xdr:row>
                    <xdr:rowOff>76200</xdr:rowOff>
                  </from>
                  <to>
                    <xdr:col>6</xdr:col>
                    <xdr:colOff>495300</xdr:colOff>
                    <xdr:row>786436</xdr:row>
                    <xdr:rowOff>121920</xdr:rowOff>
                  </to>
                </anchor>
              </controlPr>
            </control>
          </mc:Choice>
        </mc:AlternateContent>
        <mc:AlternateContent xmlns:mc="http://schemas.openxmlformats.org/markup-compatibility/2006">
          <mc:Choice Requires="x14">
            <control shapeId="9268" r:id="rId55" name="Drop Down 52">
              <controlPr defaultSize="0" autoLine="0" autoPict="0">
                <anchor moveWithCells="1">
                  <from>
                    <xdr:col>9</xdr:col>
                    <xdr:colOff>0</xdr:colOff>
                    <xdr:row>786451</xdr:row>
                    <xdr:rowOff>0</xdr:rowOff>
                  </from>
                  <to>
                    <xdr:col>10</xdr:col>
                    <xdr:colOff>22860</xdr:colOff>
                    <xdr:row>786452</xdr:row>
                    <xdr:rowOff>45720</xdr:rowOff>
                  </to>
                </anchor>
              </controlPr>
            </control>
          </mc:Choice>
        </mc:AlternateContent>
        <mc:AlternateContent xmlns:mc="http://schemas.openxmlformats.org/markup-compatibility/2006">
          <mc:Choice Requires="x14">
            <control shapeId="9269" r:id="rId56" name="Drop Down 53">
              <controlPr defaultSize="0" autoLine="0" autoPict="0">
                <anchor moveWithCells="1">
                  <from>
                    <xdr:col>3</xdr:col>
                    <xdr:colOff>0</xdr:colOff>
                    <xdr:row>851988</xdr:row>
                    <xdr:rowOff>0</xdr:rowOff>
                  </from>
                  <to>
                    <xdr:col>4</xdr:col>
                    <xdr:colOff>335280</xdr:colOff>
                    <xdr:row>851989</xdr:row>
                    <xdr:rowOff>68580</xdr:rowOff>
                  </to>
                </anchor>
              </controlPr>
            </control>
          </mc:Choice>
        </mc:AlternateContent>
        <mc:AlternateContent xmlns:mc="http://schemas.openxmlformats.org/markup-compatibility/2006">
          <mc:Choice Requires="x14">
            <control shapeId="9270" r:id="rId57" name="Button 54">
              <controlPr defaultSize="0" print="0" autoFill="0" autoPict="0">
                <anchor moveWithCells="1">
                  <from>
                    <xdr:col>5</xdr:col>
                    <xdr:colOff>525780</xdr:colOff>
                    <xdr:row>851973</xdr:row>
                    <xdr:rowOff>30480</xdr:rowOff>
                  </from>
                  <to>
                    <xdr:col>6</xdr:col>
                    <xdr:colOff>464820</xdr:colOff>
                    <xdr:row>851974</xdr:row>
                    <xdr:rowOff>83820</xdr:rowOff>
                  </to>
                </anchor>
              </controlPr>
            </control>
          </mc:Choice>
        </mc:AlternateContent>
        <mc:AlternateContent xmlns:mc="http://schemas.openxmlformats.org/markup-compatibility/2006">
          <mc:Choice Requires="x14">
            <control shapeId="9271" r:id="rId58" name="Button 55">
              <controlPr defaultSize="0" print="0" autoFill="0" autoPict="0">
                <anchor moveWithCells="1">
                  <from>
                    <xdr:col>5</xdr:col>
                    <xdr:colOff>464820</xdr:colOff>
                    <xdr:row>851971</xdr:row>
                    <xdr:rowOff>76200</xdr:rowOff>
                  </from>
                  <to>
                    <xdr:col>6</xdr:col>
                    <xdr:colOff>495300</xdr:colOff>
                    <xdr:row>851972</xdr:row>
                    <xdr:rowOff>121920</xdr:rowOff>
                  </to>
                </anchor>
              </controlPr>
            </control>
          </mc:Choice>
        </mc:AlternateContent>
        <mc:AlternateContent xmlns:mc="http://schemas.openxmlformats.org/markup-compatibility/2006">
          <mc:Choice Requires="x14">
            <control shapeId="9272" r:id="rId59" name="Drop Down 56">
              <controlPr defaultSize="0" autoLine="0" autoPict="0">
                <anchor moveWithCells="1">
                  <from>
                    <xdr:col>9</xdr:col>
                    <xdr:colOff>0</xdr:colOff>
                    <xdr:row>851987</xdr:row>
                    <xdr:rowOff>0</xdr:rowOff>
                  </from>
                  <to>
                    <xdr:col>10</xdr:col>
                    <xdr:colOff>22860</xdr:colOff>
                    <xdr:row>851988</xdr:row>
                    <xdr:rowOff>45720</xdr:rowOff>
                  </to>
                </anchor>
              </controlPr>
            </control>
          </mc:Choice>
        </mc:AlternateContent>
        <mc:AlternateContent xmlns:mc="http://schemas.openxmlformats.org/markup-compatibility/2006">
          <mc:Choice Requires="x14">
            <control shapeId="9273" r:id="rId60" name="Drop Down 57">
              <controlPr defaultSize="0" autoLine="0" autoPict="0">
                <anchor moveWithCells="1">
                  <from>
                    <xdr:col>3</xdr:col>
                    <xdr:colOff>0</xdr:colOff>
                    <xdr:row>917524</xdr:row>
                    <xdr:rowOff>0</xdr:rowOff>
                  </from>
                  <to>
                    <xdr:col>4</xdr:col>
                    <xdr:colOff>335280</xdr:colOff>
                    <xdr:row>917525</xdr:row>
                    <xdr:rowOff>68580</xdr:rowOff>
                  </to>
                </anchor>
              </controlPr>
            </control>
          </mc:Choice>
        </mc:AlternateContent>
        <mc:AlternateContent xmlns:mc="http://schemas.openxmlformats.org/markup-compatibility/2006">
          <mc:Choice Requires="x14">
            <control shapeId="9274" r:id="rId61" name="Button 58">
              <controlPr defaultSize="0" print="0" autoFill="0" autoPict="0">
                <anchor moveWithCells="1">
                  <from>
                    <xdr:col>5</xdr:col>
                    <xdr:colOff>525780</xdr:colOff>
                    <xdr:row>917509</xdr:row>
                    <xdr:rowOff>30480</xdr:rowOff>
                  </from>
                  <to>
                    <xdr:col>6</xdr:col>
                    <xdr:colOff>464820</xdr:colOff>
                    <xdr:row>917510</xdr:row>
                    <xdr:rowOff>83820</xdr:rowOff>
                  </to>
                </anchor>
              </controlPr>
            </control>
          </mc:Choice>
        </mc:AlternateContent>
        <mc:AlternateContent xmlns:mc="http://schemas.openxmlformats.org/markup-compatibility/2006">
          <mc:Choice Requires="x14">
            <control shapeId="9275" r:id="rId62" name="Button 59">
              <controlPr defaultSize="0" print="0" autoFill="0" autoPict="0">
                <anchor moveWithCells="1">
                  <from>
                    <xdr:col>5</xdr:col>
                    <xdr:colOff>464820</xdr:colOff>
                    <xdr:row>917507</xdr:row>
                    <xdr:rowOff>76200</xdr:rowOff>
                  </from>
                  <to>
                    <xdr:col>6</xdr:col>
                    <xdr:colOff>495300</xdr:colOff>
                    <xdr:row>917508</xdr:row>
                    <xdr:rowOff>121920</xdr:rowOff>
                  </to>
                </anchor>
              </controlPr>
            </control>
          </mc:Choice>
        </mc:AlternateContent>
        <mc:AlternateContent xmlns:mc="http://schemas.openxmlformats.org/markup-compatibility/2006">
          <mc:Choice Requires="x14">
            <control shapeId="9276" r:id="rId63" name="Drop Down 60">
              <controlPr defaultSize="0" autoLine="0" autoPict="0">
                <anchor moveWithCells="1">
                  <from>
                    <xdr:col>9</xdr:col>
                    <xdr:colOff>0</xdr:colOff>
                    <xdr:row>917523</xdr:row>
                    <xdr:rowOff>0</xdr:rowOff>
                  </from>
                  <to>
                    <xdr:col>10</xdr:col>
                    <xdr:colOff>22860</xdr:colOff>
                    <xdr:row>917524</xdr:row>
                    <xdr:rowOff>45720</xdr:rowOff>
                  </to>
                </anchor>
              </controlPr>
            </control>
          </mc:Choice>
        </mc:AlternateContent>
        <mc:AlternateContent xmlns:mc="http://schemas.openxmlformats.org/markup-compatibility/2006">
          <mc:Choice Requires="x14">
            <control shapeId="9277" r:id="rId64" name="Drop Down 61">
              <controlPr defaultSize="0" autoLine="0" autoPict="0">
                <anchor moveWithCells="1">
                  <from>
                    <xdr:col>3</xdr:col>
                    <xdr:colOff>0</xdr:colOff>
                    <xdr:row>983060</xdr:row>
                    <xdr:rowOff>0</xdr:rowOff>
                  </from>
                  <to>
                    <xdr:col>4</xdr:col>
                    <xdr:colOff>335280</xdr:colOff>
                    <xdr:row>983061</xdr:row>
                    <xdr:rowOff>68580</xdr:rowOff>
                  </to>
                </anchor>
              </controlPr>
            </control>
          </mc:Choice>
        </mc:AlternateContent>
        <mc:AlternateContent xmlns:mc="http://schemas.openxmlformats.org/markup-compatibility/2006">
          <mc:Choice Requires="x14">
            <control shapeId="9278" r:id="rId65" name="Button 62">
              <controlPr defaultSize="0" print="0" autoFill="0" autoPict="0">
                <anchor moveWithCells="1">
                  <from>
                    <xdr:col>5</xdr:col>
                    <xdr:colOff>525780</xdr:colOff>
                    <xdr:row>983045</xdr:row>
                    <xdr:rowOff>30480</xdr:rowOff>
                  </from>
                  <to>
                    <xdr:col>6</xdr:col>
                    <xdr:colOff>464820</xdr:colOff>
                    <xdr:row>983046</xdr:row>
                    <xdr:rowOff>83820</xdr:rowOff>
                  </to>
                </anchor>
              </controlPr>
            </control>
          </mc:Choice>
        </mc:AlternateContent>
        <mc:AlternateContent xmlns:mc="http://schemas.openxmlformats.org/markup-compatibility/2006">
          <mc:Choice Requires="x14">
            <control shapeId="9279" r:id="rId66" name="Button 63">
              <controlPr defaultSize="0" print="0" autoFill="0" autoPict="0">
                <anchor moveWithCells="1">
                  <from>
                    <xdr:col>5</xdr:col>
                    <xdr:colOff>464820</xdr:colOff>
                    <xdr:row>983043</xdr:row>
                    <xdr:rowOff>76200</xdr:rowOff>
                  </from>
                  <to>
                    <xdr:col>6</xdr:col>
                    <xdr:colOff>495300</xdr:colOff>
                    <xdr:row>983044</xdr:row>
                    <xdr:rowOff>121920</xdr:rowOff>
                  </to>
                </anchor>
              </controlPr>
            </control>
          </mc:Choice>
        </mc:AlternateContent>
        <mc:AlternateContent xmlns:mc="http://schemas.openxmlformats.org/markup-compatibility/2006">
          <mc:Choice Requires="x14">
            <control shapeId="9280" r:id="rId67" name="Drop Down 64">
              <controlPr defaultSize="0" autoLine="0" autoPict="0">
                <anchor moveWithCells="1">
                  <from>
                    <xdr:col>9</xdr:col>
                    <xdr:colOff>0</xdr:colOff>
                    <xdr:row>983059</xdr:row>
                    <xdr:rowOff>0</xdr:rowOff>
                  </from>
                  <to>
                    <xdr:col>10</xdr:col>
                    <xdr:colOff>22860</xdr:colOff>
                    <xdr:row>983060</xdr:row>
                    <xdr:rowOff>45720</xdr:rowOff>
                  </to>
                </anchor>
              </controlPr>
            </control>
          </mc:Choice>
        </mc:AlternateContent>
        <mc:AlternateContent xmlns:mc="http://schemas.openxmlformats.org/markup-compatibility/2006">
          <mc:Choice Requires="x14">
            <control shapeId="9281" r:id="rId68" name="Drop Down 65">
              <controlPr defaultSize="0" autoLine="0" autoPict="0">
                <anchor moveWithCells="1">
                  <from>
                    <xdr:col>7</xdr:col>
                    <xdr:colOff>571500</xdr:colOff>
                    <xdr:row>19</xdr:row>
                    <xdr:rowOff>144780</xdr:rowOff>
                  </from>
                  <to>
                    <xdr:col>10</xdr:col>
                    <xdr:colOff>22860</xdr:colOff>
                    <xdr:row>20</xdr:row>
                    <xdr:rowOff>198120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BP62"/>
  <sheetViews>
    <sheetView zoomScaleNormal="100" workbookViewId="0">
      <selection activeCell="D5" sqref="D5:E5"/>
    </sheetView>
  </sheetViews>
  <sheetFormatPr defaultRowHeight="13.2" x14ac:dyDescent="0.25"/>
  <cols>
    <col min="1" max="1" width="4.5546875" style="7" customWidth="1"/>
    <col min="2" max="2" width="16.33203125" customWidth="1"/>
    <col min="3" max="3" width="9.5546875" customWidth="1"/>
    <col min="4" max="4" width="24.5546875" customWidth="1"/>
    <col min="5" max="5" width="8.109375" customWidth="1"/>
    <col min="6" max="6" width="16" customWidth="1"/>
    <col min="7" max="7" width="14.5546875" customWidth="1"/>
    <col min="8" max="8" width="12.109375" customWidth="1"/>
    <col min="9" max="9" width="14.5546875" customWidth="1"/>
    <col min="10" max="10" width="10.6640625" style="7" customWidth="1"/>
    <col min="11" max="11" width="13.44140625" customWidth="1"/>
    <col min="12" max="12" width="15.88671875" customWidth="1"/>
    <col min="13" max="13" width="16.44140625" customWidth="1"/>
    <col min="14" max="14" width="18.6640625" customWidth="1"/>
    <col min="15" max="15" width="10.88671875" customWidth="1"/>
    <col min="16" max="16" width="12" customWidth="1"/>
    <col min="17" max="17" width="9" customWidth="1"/>
    <col min="18" max="18" width="8.109375" customWidth="1"/>
    <col min="19" max="19" width="10.109375" customWidth="1"/>
    <col min="22" max="22" width="12" customWidth="1"/>
    <col min="23" max="23" width="11" customWidth="1"/>
    <col min="24" max="24" width="11.109375" customWidth="1"/>
    <col min="28" max="28" width="22" customWidth="1"/>
    <col min="32" max="32" width="11.88671875" customWidth="1"/>
    <col min="33" max="33" width="12.109375" customWidth="1"/>
    <col min="34" max="34" width="17.109375" customWidth="1"/>
    <col min="39" max="39" width="15.5546875" customWidth="1"/>
    <col min="40" max="40" width="9.109375" style="1"/>
    <col min="50" max="50" width="17.88671875" customWidth="1"/>
    <col min="61" max="61" width="19.109375" customWidth="1"/>
    <col min="62" max="62" width="14.44140625" style="448" customWidth="1"/>
  </cols>
  <sheetData>
    <row r="1" spans="1:68" ht="12.75" customHeight="1" x14ac:dyDescent="0.4">
      <c r="A1" s="515" t="s">
        <v>263</v>
      </c>
      <c r="B1" s="551"/>
      <c r="C1" s="551"/>
      <c r="D1" s="551"/>
      <c r="E1" s="551"/>
      <c r="F1" s="551"/>
      <c r="G1" s="551"/>
      <c r="H1" s="551"/>
      <c r="I1" s="551"/>
      <c r="J1" s="551"/>
      <c r="K1" s="551"/>
      <c r="L1" s="551"/>
      <c r="M1" s="551"/>
      <c r="N1" s="551"/>
      <c r="O1" s="551"/>
      <c r="P1" s="552"/>
      <c r="Q1" s="37"/>
      <c r="R1" s="31"/>
      <c r="S1" s="31"/>
      <c r="T1" s="4"/>
    </row>
    <row r="2" spans="1:68" ht="12.75" customHeight="1" x14ac:dyDescent="0.4">
      <c r="A2" s="553"/>
      <c r="B2" s="554"/>
      <c r="C2" s="554"/>
      <c r="D2" s="554"/>
      <c r="E2" s="554"/>
      <c r="F2" s="554"/>
      <c r="G2" s="554"/>
      <c r="H2" s="554"/>
      <c r="I2" s="554"/>
      <c r="J2" s="554"/>
      <c r="K2" s="554"/>
      <c r="L2" s="554"/>
      <c r="M2" s="554"/>
      <c r="N2" s="554"/>
      <c r="O2" s="554"/>
      <c r="P2" s="555"/>
      <c r="Q2" s="37"/>
      <c r="R2" s="31"/>
      <c r="S2" s="31"/>
      <c r="T2" s="4"/>
    </row>
    <row r="3" spans="1:68" s="5" customFormat="1" ht="12.75" customHeight="1" x14ac:dyDescent="0.25">
      <c r="A3" s="23"/>
      <c r="B3" s="19"/>
      <c r="C3" s="19"/>
      <c r="D3" s="19"/>
      <c r="E3" s="19"/>
      <c r="F3" s="19"/>
      <c r="G3" s="19"/>
      <c r="H3" s="19"/>
      <c r="I3" s="19"/>
      <c r="J3" s="19"/>
      <c r="K3" s="19"/>
      <c r="L3" s="19"/>
      <c r="M3" s="19"/>
      <c r="N3" s="19"/>
      <c r="O3" s="19"/>
      <c r="P3" s="33"/>
      <c r="Q3" s="38"/>
      <c r="AN3" s="54"/>
    </row>
    <row r="4" spans="1:68" s="5" customFormat="1" ht="17.25" customHeight="1" x14ac:dyDescent="0.25">
      <c r="A4" s="23"/>
      <c r="B4" s="47" t="s">
        <v>73</v>
      </c>
      <c r="C4" s="27"/>
      <c r="D4" s="27"/>
      <c r="E4" s="27"/>
      <c r="F4" s="19"/>
      <c r="G4" s="409" t="s">
        <v>124</v>
      </c>
      <c r="H4" s="567" t="s">
        <v>267</v>
      </c>
      <c r="I4" s="568"/>
      <c r="J4" s="568"/>
      <c r="K4" s="568"/>
      <c r="L4" s="568"/>
      <c r="M4" s="568"/>
      <c r="N4" s="568"/>
      <c r="O4" s="569"/>
      <c r="P4" s="15"/>
      <c r="AN4" s="54"/>
    </row>
    <row r="5" spans="1:68" s="5" customFormat="1" ht="14.1" customHeight="1" x14ac:dyDescent="0.25">
      <c r="A5" s="23"/>
      <c r="B5" s="413" t="s">
        <v>13</v>
      </c>
      <c r="C5" s="26"/>
      <c r="D5" s="557"/>
      <c r="E5" s="558"/>
      <c r="F5" s="53"/>
      <c r="G5" s="5" t="s">
        <v>117</v>
      </c>
      <c r="H5" s="570"/>
      <c r="I5" s="571"/>
      <c r="J5" s="571"/>
      <c r="K5" s="571"/>
      <c r="L5" s="571"/>
      <c r="M5" s="571"/>
      <c r="N5" s="571"/>
      <c r="O5" s="572"/>
      <c r="P5" s="15"/>
      <c r="AN5" s="54"/>
    </row>
    <row r="6" spans="1:68" s="5" customFormat="1" ht="14.1" customHeight="1" x14ac:dyDescent="0.25">
      <c r="A6" s="23"/>
      <c r="B6" s="385" t="s">
        <v>45</v>
      </c>
      <c r="C6" s="25"/>
      <c r="D6" s="557"/>
      <c r="E6" s="558"/>
      <c r="F6" s="19"/>
      <c r="H6" s="570"/>
      <c r="I6" s="571"/>
      <c r="J6" s="571"/>
      <c r="K6" s="571"/>
      <c r="L6" s="571"/>
      <c r="M6" s="571"/>
      <c r="N6" s="571"/>
      <c r="O6" s="572"/>
      <c r="P6" s="15"/>
      <c r="T6" s="22"/>
      <c r="AN6" s="54"/>
    </row>
    <row r="7" spans="1:68" s="5" customFormat="1" ht="14.1" customHeight="1" x14ac:dyDescent="0.25">
      <c r="A7" s="23"/>
      <c r="B7" s="413" t="s">
        <v>4</v>
      </c>
      <c r="C7" s="26"/>
      <c r="D7" s="576"/>
      <c r="E7" s="577"/>
      <c r="F7" s="19"/>
      <c r="H7" s="570"/>
      <c r="I7" s="571"/>
      <c r="J7" s="571"/>
      <c r="K7" s="571"/>
      <c r="L7" s="571"/>
      <c r="M7" s="571"/>
      <c r="N7" s="571"/>
      <c r="O7" s="572"/>
      <c r="P7" s="15"/>
      <c r="AN7" s="54"/>
    </row>
    <row r="8" spans="1:68" ht="14.1" customHeight="1" x14ac:dyDescent="0.25">
      <c r="A8" s="16"/>
      <c r="B8" s="413" t="s">
        <v>3</v>
      </c>
      <c r="C8" s="26"/>
      <c r="D8" s="557"/>
      <c r="E8" s="558"/>
      <c r="F8" s="6"/>
      <c r="G8" s="4"/>
      <c r="H8" s="573"/>
      <c r="I8" s="574"/>
      <c r="J8" s="574"/>
      <c r="K8" s="574"/>
      <c r="L8" s="574"/>
      <c r="M8" s="574"/>
      <c r="N8" s="574"/>
      <c r="O8" s="575"/>
      <c r="P8" s="14"/>
      <c r="Q8" s="7"/>
      <c r="R8" s="7"/>
      <c r="S8" s="4"/>
      <c r="T8" s="24"/>
    </row>
    <row r="9" spans="1:68" ht="15" customHeight="1" x14ac:dyDescent="0.25">
      <c r="A9" s="40"/>
      <c r="B9" s="17"/>
      <c r="C9" s="17"/>
      <c r="D9" s="17"/>
      <c r="E9" s="17"/>
      <c r="F9" s="17"/>
      <c r="G9" s="17"/>
      <c r="H9" s="17"/>
      <c r="I9" s="17"/>
      <c r="J9" s="17"/>
      <c r="K9" s="17"/>
      <c r="L9" s="17"/>
      <c r="M9" s="17"/>
      <c r="N9" s="17"/>
      <c r="O9" s="17"/>
      <c r="P9" s="122"/>
      <c r="Q9" s="7"/>
      <c r="R9" s="7"/>
      <c r="S9" s="4"/>
      <c r="T9" s="24"/>
      <c r="AB9" s="2"/>
      <c r="AC9" s="2"/>
      <c r="AE9" s="2"/>
      <c r="AF9" s="2"/>
      <c r="AG9" s="2"/>
      <c r="AH9" s="2"/>
    </row>
    <row r="10" spans="1:68" ht="25.5" customHeight="1" x14ac:dyDescent="0.25">
      <c r="A10" s="16"/>
      <c r="B10" s="48" t="s">
        <v>74</v>
      </c>
      <c r="C10" s="19"/>
      <c r="D10" s="19"/>
      <c r="E10" s="19"/>
      <c r="F10" s="19"/>
      <c r="G10" s="19"/>
      <c r="H10" s="19"/>
      <c r="I10" s="19"/>
      <c r="J10" s="19"/>
      <c r="K10" s="19"/>
      <c r="L10" s="19"/>
      <c r="M10" s="5"/>
      <c r="N10" s="5"/>
      <c r="O10" s="4"/>
      <c r="P10" s="14"/>
      <c r="Q10" s="7"/>
      <c r="R10" s="7"/>
      <c r="S10" s="4"/>
      <c r="T10" s="24"/>
      <c r="AB10" s="2"/>
      <c r="AC10" s="2"/>
      <c r="AE10" s="2"/>
      <c r="AF10" s="9"/>
      <c r="AG10" s="2"/>
      <c r="AH10" s="9"/>
    </row>
    <row r="11" spans="1:68" ht="13.5" customHeight="1" x14ac:dyDescent="0.25">
      <c r="A11" s="16"/>
      <c r="B11" s="414" t="s">
        <v>70</v>
      </c>
      <c r="C11" s="415"/>
      <c r="D11" s="415"/>
      <c r="E11" s="415"/>
      <c r="F11" s="19"/>
      <c r="G11" s="414" t="s">
        <v>71</v>
      </c>
      <c r="H11" s="415"/>
      <c r="I11" s="415"/>
      <c r="J11" s="415"/>
      <c r="K11" s="2"/>
      <c r="L11" s="414" t="s">
        <v>72</v>
      </c>
      <c r="M11" s="415"/>
      <c r="N11" s="421"/>
      <c r="O11" s="5"/>
      <c r="P11" s="14"/>
      <c r="Q11" s="7"/>
      <c r="R11" s="7"/>
      <c r="S11" s="24"/>
      <c r="T11" s="24"/>
      <c r="AB11" s="2"/>
      <c r="AC11" s="2"/>
      <c r="AE11" s="2"/>
      <c r="AF11" s="9"/>
      <c r="AG11" s="2"/>
      <c r="AH11" s="9"/>
    </row>
    <row r="12" spans="1:68" ht="13.5" customHeight="1" x14ac:dyDescent="0.25">
      <c r="A12" s="16"/>
      <c r="B12" s="413" t="s">
        <v>60</v>
      </c>
      <c r="C12" s="416"/>
      <c r="D12" s="557"/>
      <c r="E12" s="558"/>
      <c r="F12" s="2"/>
      <c r="G12" s="420" t="s">
        <v>213</v>
      </c>
      <c r="H12" s="421"/>
      <c r="I12" s="410"/>
      <c r="J12" s="421" t="s">
        <v>65</v>
      </c>
      <c r="K12" s="4"/>
      <c r="L12" s="423" t="s">
        <v>66</v>
      </c>
      <c r="M12" s="424"/>
      <c r="N12" s="389"/>
      <c r="O12" s="3" t="s">
        <v>44</v>
      </c>
      <c r="P12" s="14"/>
      <c r="Q12" s="7"/>
      <c r="R12" s="7"/>
      <c r="S12" s="24"/>
      <c r="T12" s="24"/>
      <c r="AB12" s="2"/>
      <c r="AC12" s="2"/>
      <c r="AE12" s="2"/>
      <c r="AF12" s="9"/>
      <c r="AG12" s="2"/>
      <c r="AH12" s="9"/>
    </row>
    <row r="13" spans="1:68" ht="13.5" customHeight="1" x14ac:dyDescent="0.25">
      <c r="A13" s="16"/>
      <c r="B13" s="416" t="s">
        <v>56</v>
      </c>
      <c r="C13" s="385"/>
      <c r="D13" s="404"/>
      <c r="E13" s="405"/>
      <c r="F13" s="4"/>
      <c r="G13" s="421" t="s">
        <v>215</v>
      </c>
      <c r="H13" s="421"/>
      <c r="I13" s="410"/>
      <c r="J13" s="421" t="s">
        <v>191</v>
      </c>
      <c r="K13" s="4"/>
      <c r="L13" s="421" t="s">
        <v>67</v>
      </c>
      <c r="M13" s="421"/>
      <c r="N13" s="412" t="str">
        <f>IF(N12="","",N12*60*24)</f>
        <v/>
      </c>
      <c r="O13" s="5" t="s">
        <v>58</v>
      </c>
      <c r="P13" s="14"/>
      <c r="Q13" s="7"/>
      <c r="R13" s="7"/>
      <c r="S13" s="24"/>
      <c r="T13" s="24"/>
      <c r="AB13" s="2"/>
      <c r="AC13" s="2"/>
      <c r="AE13" s="2"/>
      <c r="AF13" s="9"/>
      <c r="AG13" s="2"/>
      <c r="AH13" s="9"/>
      <c r="BK13" s="451"/>
      <c r="BL13" s="451"/>
      <c r="BM13" s="451"/>
      <c r="BN13" s="451"/>
      <c r="BO13" s="451"/>
      <c r="BP13" s="451"/>
    </row>
    <row r="14" spans="1:68" s="222" customFormat="1" ht="13.5" customHeight="1" x14ac:dyDescent="0.25">
      <c r="A14" s="215"/>
      <c r="B14" s="417" t="s">
        <v>57</v>
      </c>
      <c r="C14" s="417"/>
      <c r="D14" s="406"/>
      <c r="E14" s="407"/>
      <c r="F14" s="214" t="s">
        <v>58</v>
      </c>
      <c r="G14" s="422" t="s">
        <v>63</v>
      </c>
      <c r="H14" s="417"/>
      <c r="I14" s="411" t="str">
        <f>IF(I13="","",E15/I12/I13)</f>
        <v/>
      </c>
      <c r="J14" s="417" t="s">
        <v>44</v>
      </c>
      <c r="K14" s="214"/>
      <c r="L14" s="544" t="s">
        <v>230</v>
      </c>
      <c r="M14" s="544"/>
      <c r="N14" s="544"/>
      <c r="O14" s="227"/>
      <c r="P14" s="228"/>
      <c r="Q14" s="221"/>
      <c r="R14" s="221"/>
      <c r="S14" s="227"/>
      <c r="T14" s="227"/>
      <c r="AB14" s="229"/>
      <c r="AC14" s="229"/>
      <c r="AE14" s="229"/>
      <c r="AF14" s="230"/>
      <c r="AG14" s="229"/>
      <c r="AH14" s="230"/>
      <c r="AN14" s="231"/>
      <c r="BK14" s="452"/>
      <c r="BL14" s="452"/>
      <c r="BM14" s="452"/>
      <c r="BN14" s="452"/>
      <c r="BO14" s="452"/>
      <c r="BP14" s="452"/>
    </row>
    <row r="15" spans="1:68" ht="16.5" customHeight="1" x14ac:dyDescent="0.25">
      <c r="A15" s="16"/>
      <c r="B15" s="418" t="s">
        <v>55</v>
      </c>
      <c r="C15" s="419"/>
      <c r="D15" s="408"/>
      <c r="E15" s="390" t="str">
        <f>IF(E14="","",E13*E14)</f>
        <v/>
      </c>
      <c r="F15" s="4" t="s">
        <v>58</v>
      </c>
      <c r="G15" s="421" t="s">
        <v>64</v>
      </c>
      <c r="H15" s="421"/>
      <c r="I15" s="410"/>
      <c r="J15" s="421" t="s">
        <v>44</v>
      </c>
      <c r="K15" s="4"/>
      <c r="L15" s="544"/>
      <c r="M15" s="544"/>
      <c r="N15" s="544"/>
      <c r="O15" s="24"/>
      <c r="P15" s="30"/>
      <c r="Q15" s="24"/>
      <c r="R15" s="24"/>
      <c r="S15" s="24"/>
      <c r="T15" s="24"/>
      <c r="AB15" s="2"/>
      <c r="AC15" s="2"/>
      <c r="AE15" s="2"/>
      <c r="AF15" s="9"/>
      <c r="AG15" s="2"/>
      <c r="AH15" s="9"/>
      <c r="AR15" s="188"/>
      <c r="AS15" s="188"/>
      <c r="AT15" s="188"/>
      <c r="AU15" s="188"/>
      <c r="AV15" s="188"/>
      <c r="AW15" s="188"/>
      <c r="AX15" s="188"/>
      <c r="AY15" s="188"/>
      <c r="AZ15" s="188"/>
      <c r="BA15" s="188"/>
      <c r="BB15" s="188"/>
      <c r="BC15" s="188"/>
      <c r="BD15" s="188">
        <v>1</v>
      </c>
      <c r="BE15" s="188">
        <v>2</v>
      </c>
      <c r="BF15" s="188">
        <v>3</v>
      </c>
      <c r="BG15" s="188">
        <v>4</v>
      </c>
      <c r="BH15" s="188">
        <v>5</v>
      </c>
      <c r="BI15">
        <v>6</v>
      </c>
      <c r="BK15" s="451"/>
      <c r="BL15" s="453" t="s">
        <v>210</v>
      </c>
      <c r="BM15" s="451"/>
      <c r="BN15" s="451"/>
      <c r="BO15" s="451"/>
      <c r="BP15" s="451"/>
    </row>
    <row r="16" spans="1:68" ht="13.5" customHeight="1" x14ac:dyDescent="0.25">
      <c r="A16" s="16"/>
      <c r="B16" s="543" t="s">
        <v>59</v>
      </c>
      <c r="C16" s="543"/>
      <c r="D16" s="543"/>
      <c r="E16" s="543"/>
      <c r="F16" s="4"/>
      <c r="G16" s="543" t="s">
        <v>79</v>
      </c>
      <c r="H16" s="543"/>
      <c r="I16" s="543"/>
      <c r="J16" s="543"/>
      <c r="K16" s="4"/>
      <c r="L16" s="544" t="s">
        <v>265</v>
      </c>
      <c r="M16" s="544"/>
      <c r="N16" s="544"/>
      <c r="O16" s="24"/>
      <c r="P16" s="30"/>
      <c r="Q16" s="24"/>
      <c r="R16" s="24"/>
      <c r="S16" s="24"/>
      <c r="T16" s="24"/>
      <c r="AB16" s="2"/>
      <c r="AC16" s="2"/>
      <c r="AE16" s="2"/>
      <c r="AF16" s="9"/>
      <c r="AG16" s="2"/>
      <c r="AH16" s="9"/>
      <c r="AR16" s="188"/>
      <c r="AS16" s="188"/>
      <c r="AT16" s="188"/>
      <c r="AU16" s="188"/>
      <c r="AV16" s="188"/>
      <c r="AW16" s="188"/>
      <c r="AX16" s="188"/>
      <c r="AY16" s="188"/>
      <c r="AZ16" s="188"/>
      <c r="BA16" s="196" t="s">
        <v>203</v>
      </c>
      <c r="BB16" s="188"/>
      <c r="BC16" s="188"/>
      <c r="BD16" s="188"/>
      <c r="BE16" s="188"/>
      <c r="BF16" s="198" t="s">
        <v>204</v>
      </c>
      <c r="BG16" s="188"/>
      <c r="BH16" s="188"/>
      <c r="BK16" s="451"/>
      <c r="BL16" s="451"/>
      <c r="BM16" s="451"/>
      <c r="BN16" s="451"/>
      <c r="BO16" s="451"/>
      <c r="BP16" s="451"/>
    </row>
    <row r="17" spans="1:68" ht="16.5" customHeight="1" x14ac:dyDescent="0.25">
      <c r="A17" s="16"/>
      <c r="B17" s="543"/>
      <c r="C17" s="543"/>
      <c r="D17" s="543"/>
      <c r="E17" s="543"/>
      <c r="F17" s="4"/>
      <c r="G17" s="543"/>
      <c r="H17" s="543"/>
      <c r="I17" s="543"/>
      <c r="J17" s="543"/>
      <c r="K17" s="24"/>
      <c r="L17" s="544"/>
      <c r="M17" s="544"/>
      <c r="N17" s="544"/>
      <c r="O17" s="24"/>
      <c r="P17" s="30"/>
      <c r="Q17" s="24"/>
      <c r="R17" s="24"/>
      <c r="S17" s="24"/>
      <c r="T17" s="24"/>
      <c r="AB17" s="2"/>
      <c r="AC17" s="2"/>
      <c r="AE17" s="2"/>
      <c r="AF17" s="9"/>
      <c r="AG17" s="2"/>
      <c r="AH17" s="9"/>
      <c r="AR17" s="153"/>
      <c r="AS17" s="153" t="s">
        <v>129</v>
      </c>
      <c r="AT17" s="153"/>
      <c r="AU17" s="153"/>
      <c r="AV17" s="142"/>
      <c r="AW17" s="75" t="s">
        <v>195</v>
      </c>
      <c r="AX17" s="188"/>
      <c r="AY17" s="188"/>
      <c r="AZ17" s="75" t="s">
        <v>206</v>
      </c>
      <c r="BA17" s="188"/>
      <c r="BB17" s="188"/>
      <c r="BC17" s="142"/>
      <c r="BD17" s="142"/>
      <c r="BE17" s="197" t="s">
        <v>201</v>
      </c>
      <c r="BF17" s="197" t="s">
        <v>202</v>
      </c>
      <c r="BG17" s="449" t="s">
        <v>238</v>
      </c>
      <c r="BH17" s="449" t="s">
        <v>198</v>
      </c>
      <c r="BI17" s="359" t="s">
        <v>199</v>
      </c>
      <c r="BJ17" s="449"/>
      <c r="BK17" s="454" t="s">
        <v>201</v>
      </c>
      <c r="BL17" s="454" t="s">
        <v>202</v>
      </c>
      <c r="BM17" s="455" t="s">
        <v>238</v>
      </c>
      <c r="BN17" s="455" t="s">
        <v>198</v>
      </c>
      <c r="BO17" s="455" t="s">
        <v>199</v>
      </c>
      <c r="BP17" s="451"/>
    </row>
    <row r="18" spans="1:68" ht="13.5" customHeight="1" x14ac:dyDescent="0.25">
      <c r="A18" s="40"/>
      <c r="B18" s="158"/>
      <c r="C18" s="17"/>
      <c r="D18" s="17"/>
      <c r="E18" s="136"/>
      <c r="F18" s="17"/>
      <c r="G18" s="156"/>
      <c r="H18" s="156"/>
      <c r="I18" s="156"/>
      <c r="J18" s="156"/>
      <c r="K18" s="17"/>
      <c r="L18" s="159"/>
      <c r="M18" s="159"/>
      <c r="N18" s="159"/>
      <c r="O18" s="159"/>
      <c r="P18" s="160"/>
      <c r="Q18" s="24"/>
      <c r="R18" s="24"/>
      <c r="S18" s="24"/>
      <c r="T18" s="24"/>
      <c r="AB18" s="2"/>
      <c r="AC18" s="2"/>
      <c r="AD18" s="190"/>
      <c r="AE18" s="190"/>
      <c r="AF18" s="9"/>
      <c r="AG18" s="190"/>
      <c r="AH18" s="9"/>
      <c r="AI18" s="190"/>
      <c r="AR18" s="153">
        <v>1</v>
      </c>
      <c r="AS18" s="153"/>
      <c r="AT18" s="153"/>
      <c r="AU18" s="153"/>
      <c r="AV18" s="142"/>
      <c r="AW18" s="188"/>
      <c r="AX18" s="188"/>
      <c r="AY18" s="188"/>
      <c r="AZ18" s="196" t="s">
        <v>205</v>
      </c>
      <c r="BA18" s="188"/>
      <c r="BB18" s="143"/>
      <c r="BC18" s="144" t="s">
        <v>12</v>
      </c>
      <c r="BD18" s="188"/>
      <c r="BE18" s="188"/>
      <c r="BF18" s="188"/>
      <c r="BG18" s="222"/>
      <c r="BH18" s="222"/>
      <c r="BI18" s="222"/>
      <c r="BK18" s="456" t="s">
        <v>209</v>
      </c>
      <c r="BL18" s="456" t="s">
        <v>208</v>
      </c>
      <c r="BM18" s="456" t="s">
        <v>209</v>
      </c>
      <c r="BN18" s="456" t="s">
        <v>208</v>
      </c>
      <c r="BO18" s="456" t="s">
        <v>209</v>
      </c>
      <c r="BP18" s="451"/>
    </row>
    <row r="19" spans="1:68" ht="17.25" customHeight="1" x14ac:dyDescent="0.3">
      <c r="A19" s="16"/>
      <c r="B19" s="49" t="s">
        <v>75</v>
      </c>
      <c r="C19" s="4"/>
      <c r="D19" s="4"/>
      <c r="E19" s="6"/>
      <c r="F19" s="4"/>
      <c r="G19" s="403" t="s">
        <v>127</v>
      </c>
      <c r="H19" s="29"/>
      <c r="I19" s="29"/>
      <c r="J19" s="29"/>
      <c r="K19" s="4"/>
      <c r="L19" s="421"/>
      <c r="M19" s="421"/>
      <c r="N19" s="545" t="s">
        <v>214</v>
      </c>
      <c r="O19" s="545"/>
      <c r="P19" s="546"/>
      <c r="Q19" s="24"/>
      <c r="R19" s="24"/>
      <c r="S19" s="24"/>
      <c r="T19" s="24"/>
      <c r="AB19" s="2"/>
      <c r="AD19" s="190"/>
      <c r="AE19" s="190"/>
      <c r="AF19" s="9"/>
      <c r="AG19" s="190"/>
      <c r="AH19" s="9"/>
      <c r="AI19" s="190"/>
      <c r="AM19" t="s">
        <v>94</v>
      </c>
      <c r="AR19" s="153">
        <v>2</v>
      </c>
      <c r="AS19" s="153" t="s">
        <v>5</v>
      </c>
      <c r="AT19" s="153"/>
      <c r="AU19" s="153"/>
      <c r="AV19" s="142"/>
      <c r="AW19" s="188">
        <v>1</v>
      </c>
      <c r="AX19" s="222"/>
      <c r="AY19" s="222"/>
      <c r="AZ19" s="238"/>
      <c r="BA19" s="188"/>
      <c r="BB19" s="143">
        <v>1</v>
      </c>
      <c r="BC19" s="145"/>
      <c r="BD19" s="188"/>
      <c r="BE19" s="143" t="s">
        <v>128</v>
      </c>
      <c r="BF19" s="188"/>
      <c r="BG19" s="222"/>
      <c r="BH19" s="222"/>
      <c r="BI19" s="222"/>
      <c r="BK19" s="451"/>
      <c r="BL19" s="451"/>
      <c r="BM19" s="451"/>
      <c r="BN19" s="451"/>
      <c r="BO19" s="451"/>
      <c r="BP19" s="451"/>
    </row>
    <row r="20" spans="1:68" ht="25.5" customHeight="1" x14ac:dyDescent="0.25">
      <c r="A20" s="16"/>
      <c r="B20" s="425" t="s">
        <v>77</v>
      </c>
      <c r="C20" s="385"/>
      <c r="D20" s="385"/>
      <c r="E20" s="426"/>
      <c r="F20" s="385"/>
      <c r="G20" s="429" t="s">
        <v>200</v>
      </c>
      <c r="H20" s="385"/>
      <c r="I20" s="385"/>
      <c r="J20" s="385"/>
      <c r="K20" s="385"/>
      <c r="L20" s="429" t="s">
        <v>81</v>
      </c>
      <c r="M20" s="385"/>
      <c r="N20" s="547"/>
      <c r="O20" s="547"/>
      <c r="P20" s="548"/>
      <c r="Q20" s="24"/>
      <c r="R20" s="24"/>
      <c r="S20" s="24"/>
      <c r="T20" s="24"/>
      <c r="AB20" s="2"/>
      <c r="AC20" s="51"/>
      <c r="AD20" s="190"/>
      <c r="AE20" s="190"/>
      <c r="AF20" s="190"/>
      <c r="AG20" s="190"/>
      <c r="AH20" s="9"/>
      <c r="AI20" s="190"/>
      <c r="AR20" s="153">
        <v>3</v>
      </c>
      <c r="AS20" s="153" t="s">
        <v>130</v>
      </c>
      <c r="AT20" s="153"/>
      <c r="AU20" s="153"/>
      <c r="AV20" s="142"/>
      <c r="AW20" s="188">
        <v>2</v>
      </c>
      <c r="AX20" s="239" t="s">
        <v>196</v>
      </c>
      <c r="AY20" s="222"/>
      <c r="AZ20" s="238">
        <v>150</v>
      </c>
      <c r="BA20" s="188"/>
      <c r="BB20" s="143">
        <v>2</v>
      </c>
      <c r="BC20" s="146" t="s">
        <v>0</v>
      </c>
      <c r="BD20" s="188"/>
      <c r="BE20" s="283">
        <v>1.0489999999999999</v>
      </c>
      <c r="BF20" s="231">
        <v>1.0289999999999999</v>
      </c>
      <c r="BG20" s="231">
        <v>0.86299999999999999</v>
      </c>
      <c r="BH20" s="231">
        <v>1.0249999999999999</v>
      </c>
      <c r="BI20" s="283">
        <v>1.0489999999999999</v>
      </c>
      <c r="BK20" s="457">
        <f>5087*(0.012)^2/(BE20^(4/3))</f>
        <v>0.68726397364287473</v>
      </c>
      <c r="BL20" s="457">
        <f>5087*(0.011)^2/(BF20^(4/3))</f>
        <v>0.59250671264365273</v>
      </c>
      <c r="BM20" s="457">
        <f>5087*(0.012)^2/(BG20^(4/3))</f>
        <v>0.89154479482074711</v>
      </c>
      <c r="BN20" s="457">
        <f>5087*(0.011)^2/(BH20^(4/3))</f>
        <v>0.59559167784278988</v>
      </c>
      <c r="BO20" s="458">
        <f>5087*(0.012)^2/(BI20^(4/3))</f>
        <v>0.68726397364287473</v>
      </c>
      <c r="BP20" s="451"/>
    </row>
    <row r="21" spans="1:68" ht="13.5" customHeight="1" x14ac:dyDescent="0.25">
      <c r="A21" s="16"/>
      <c r="B21" s="385" t="s">
        <v>47</v>
      </c>
      <c r="C21" s="385"/>
      <c r="D21" s="560"/>
      <c r="E21" s="558"/>
      <c r="F21" s="385"/>
      <c r="G21" s="430" t="s">
        <v>194</v>
      </c>
      <c r="H21" s="430"/>
      <c r="I21" s="430"/>
      <c r="J21" s="430"/>
      <c r="K21" s="430"/>
      <c r="L21" s="432" t="s">
        <v>174</v>
      </c>
      <c r="M21" s="419"/>
      <c r="N21" s="408"/>
      <c r="O21" s="389"/>
      <c r="P21" s="394" t="s">
        <v>44</v>
      </c>
      <c r="Q21" s="24"/>
      <c r="R21" s="24"/>
      <c r="S21" s="24"/>
      <c r="T21" s="24"/>
      <c r="AB21" s="2"/>
      <c r="AC21" s="2"/>
      <c r="AD21" s="190"/>
      <c r="AE21" s="190"/>
      <c r="AF21" s="165"/>
      <c r="AG21" s="190"/>
      <c r="AH21" s="9"/>
      <c r="AI21" s="190"/>
      <c r="AM21" s="56" t="s">
        <v>95</v>
      </c>
      <c r="AN21" s="70">
        <v>1</v>
      </c>
      <c r="AR21" s="153">
        <v>4</v>
      </c>
      <c r="AS21" s="153" t="s">
        <v>6</v>
      </c>
      <c r="AT21" s="153"/>
      <c r="AU21" s="153"/>
      <c r="AV21" s="142"/>
      <c r="AW21" s="188">
        <v>3</v>
      </c>
      <c r="AX21" s="239" t="s">
        <v>197</v>
      </c>
      <c r="AY21" s="222"/>
      <c r="AZ21" s="238">
        <v>150</v>
      </c>
      <c r="BA21" s="188"/>
      <c r="BB21" s="145">
        <v>3</v>
      </c>
      <c r="BC21" s="146" t="s">
        <v>131</v>
      </c>
      <c r="BD21" s="188"/>
      <c r="BE21" s="242">
        <v>1.38</v>
      </c>
      <c r="BF21" s="231">
        <v>1.36</v>
      </c>
      <c r="BG21" s="231">
        <v>1.054</v>
      </c>
      <c r="BH21" s="231">
        <v>1.2649999999999999</v>
      </c>
      <c r="BI21" s="242">
        <v>1.38</v>
      </c>
      <c r="BK21" s="457">
        <f t="shared" ref="BK21:BK23" si="0">5087*(0.012)^2/(BE21^(4/3))</f>
        <v>0.47678082544762423</v>
      </c>
      <c r="BL21" s="457">
        <f t="shared" ref="BL21:BL23" si="1">5087*(0.011)^2/(BF21^(4/3))</f>
        <v>0.4085029810287461</v>
      </c>
      <c r="BM21" s="457">
        <f t="shared" ref="BM21:BM23" si="2">5087*(0.012)^2/(BG21^(4/3))</f>
        <v>0.68292039349044631</v>
      </c>
      <c r="BN21" s="457">
        <f t="shared" ref="BN21:BN23" si="3">5087*(0.011)^2/(BH21^(4/3))</f>
        <v>0.4499107884393333</v>
      </c>
      <c r="BO21" s="458">
        <f t="shared" ref="BO21:BO23" si="4">5087*(0.012)^2/(BI21^(4/3))</f>
        <v>0.47678082544762423</v>
      </c>
      <c r="BP21" s="451"/>
    </row>
    <row r="22" spans="1:68" ht="18" customHeight="1" x14ac:dyDescent="0.25">
      <c r="A22" s="16"/>
      <c r="B22" s="418" t="s">
        <v>92</v>
      </c>
      <c r="C22" s="419"/>
      <c r="D22" s="408"/>
      <c r="E22" s="392" t="str">
        <f>CHOOSE(AR23,"",I14,I15,N12)</f>
        <v/>
      </c>
      <c r="F22" s="385" t="s">
        <v>44</v>
      </c>
      <c r="G22" s="421" t="s">
        <v>192</v>
      </c>
      <c r="H22" s="385"/>
      <c r="I22" s="385"/>
      <c r="J22" s="385"/>
      <c r="K22" s="385"/>
      <c r="L22" s="416" t="s">
        <v>83</v>
      </c>
      <c r="M22" s="416"/>
      <c r="N22" s="416"/>
      <c r="O22" s="393" t="str">
        <f>IF(O21="","",E15/O21)</f>
        <v/>
      </c>
      <c r="P22" s="395" t="s">
        <v>173</v>
      </c>
      <c r="Q22" s="24"/>
      <c r="R22" s="24"/>
      <c r="S22" s="24"/>
      <c r="T22" s="24"/>
      <c r="AB22" s="2"/>
      <c r="AC22" s="2"/>
      <c r="AD22" s="190"/>
      <c r="AE22" s="190"/>
      <c r="AF22" s="9"/>
      <c r="AG22" s="190"/>
      <c r="AH22" s="9"/>
      <c r="AI22" s="190"/>
      <c r="AM22" s="56" t="s">
        <v>96</v>
      </c>
      <c r="AR22" s="153"/>
      <c r="AS22" s="153"/>
      <c r="AT22" s="153"/>
      <c r="AU22" s="153"/>
      <c r="AV22" s="142"/>
      <c r="AW22" s="188">
        <v>4</v>
      </c>
      <c r="AX22" s="450" t="s">
        <v>239</v>
      </c>
      <c r="AY22" s="353"/>
      <c r="AZ22" s="355">
        <v>150</v>
      </c>
      <c r="BA22" s="188"/>
      <c r="BB22" s="145">
        <v>4</v>
      </c>
      <c r="BC22" s="146" t="s">
        <v>132</v>
      </c>
      <c r="BD22" s="188"/>
      <c r="BE22" s="242">
        <v>1.61</v>
      </c>
      <c r="BF22" s="231">
        <v>1.59</v>
      </c>
      <c r="BG22" s="231">
        <v>1.2449999999999999</v>
      </c>
      <c r="BH22" s="231">
        <v>1.5049999999999999</v>
      </c>
      <c r="BI22" s="242">
        <v>1.61</v>
      </c>
      <c r="BK22" s="457">
        <f t="shared" si="0"/>
        <v>0.38820077226768945</v>
      </c>
      <c r="BL22" s="457">
        <f t="shared" si="1"/>
        <v>0.33167872008485449</v>
      </c>
      <c r="BM22" s="457">
        <f t="shared" si="2"/>
        <v>0.5469300193490626</v>
      </c>
      <c r="BN22" s="457">
        <f t="shared" si="3"/>
        <v>0.35688785966058251</v>
      </c>
      <c r="BO22" s="458">
        <f t="shared" si="4"/>
        <v>0.38820077226768945</v>
      </c>
      <c r="BP22" s="451"/>
    </row>
    <row r="23" spans="1:68" ht="15.75" customHeight="1" x14ac:dyDescent="0.25">
      <c r="A23" s="16"/>
      <c r="B23" s="578" t="s">
        <v>93</v>
      </c>
      <c r="C23" s="578"/>
      <c r="D23" s="578"/>
      <c r="E23" s="578"/>
      <c r="F23" s="427"/>
      <c r="G23" s="417" t="s">
        <v>193</v>
      </c>
      <c r="H23" s="417"/>
      <c r="I23" s="417"/>
      <c r="J23" s="438" t="str">
        <f>IF(BB25=1,"",INDEX(BD19:BI23,BB25,AW25))</f>
        <v/>
      </c>
      <c r="K23" s="417" t="s">
        <v>20</v>
      </c>
      <c r="L23" s="385" t="s">
        <v>46</v>
      </c>
      <c r="M23" s="385"/>
      <c r="N23" s="385"/>
      <c r="O23" s="389"/>
      <c r="P23" s="394" t="s">
        <v>19</v>
      </c>
      <c r="Q23" s="7"/>
      <c r="R23" s="7"/>
      <c r="S23" s="4"/>
      <c r="T23" s="2"/>
      <c r="AB23" s="2"/>
      <c r="AC23" s="2"/>
      <c r="AD23" s="190"/>
      <c r="AE23" s="12"/>
      <c r="AF23" s="10"/>
      <c r="AG23" s="12"/>
      <c r="AH23" s="10"/>
      <c r="AI23" s="190"/>
      <c r="AR23" s="152">
        <v>1</v>
      </c>
      <c r="AS23" s="154" t="s">
        <v>133</v>
      </c>
      <c r="AT23" s="155"/>
      <c r="AU23" s="153"/>
      <c r="AV23" s="142"/>
      <c r="AW23" s="188">
        <v>5</v>
      </c>
      <c r="AX23" s="359" t="s">
        <v>198</v>
      </c>
      <c r="AY23" s="222"/>
      <c r="AZ23" s="238">
        <v>130</v>
      </c>
      <c r="BA23" s="188"/>
      <c r="BB23" s="145">
        <v>5</v>
      </c>
      <c r="BC23" s="146" t="s">
        <v>1</v>
      </c>
      <c r="BD23" s="188"/>
      <c r="BE23" s="242">
        <v>2.0670000000000002</v>
      </c>
      <c r="BF23" s="231">
        <v>2.0470000000000002</v>
      </c>
      <c r="BG23" s="231">
        <v>1.629</v>
      </c>
      <c r="BH23" s="231">
        <v>1.9850000000000001</v>
      </c>
      <c r="BI23" s="242">
        <v>2.0670000000000002</v>
      </c>
      <c r="BK23" s="457">
        <f t="shared" si="0"/>
        <v>0.27820841428469884</v>
      </c>
      <c r="BL23" s="457">
        <f t="shared" si="1"/>
        <v>0.23682269430755137</v>
      </c>
      <c r="BM23" s="457">
        <f t="shared" si="2"/>
        <v>0.38217544856020225</v>
      </c>
      <c r="BN23" s="457">
        <f t="shared" si="3"/>
        <v>0.24673632572542187</v>
      </c>
      <c r="BO23" s="458">
        <f t="shared" si="4"/>
        <v>0.27820841428469884</v>
      </c>
      <c r="BP23" s="451"/>
    </row>
    <row r="24" spans="1:68" ht="14.4" x14ac:dyDescent="0.25">
      <c r="A24" s="16"/>
      <c r="B24" s="543"/>
      <c r="C24" s="543"/>
      <c r="D24" s="543"/>
      <c r="E24" s="543"/>
      <c r="F24" s="427"/>
      <c r="G24" s="417" t="s">
        <v>22</v>
      </c>
      <c r="H24" s="417"/>
      <c r="I24" s="417"/>
      <c r="J24" s="439" t="str">
        <f>IF(BB25=1,"",(J23/2)^2*PI()/144)</f>
        <v/>
      </c>
      <c r="K24" s="417" t="s">
        <v>21</v>
      </c>
      <c r="L24" s="421" t="s">
        <v>51</v>
      </c>
      <c r="M24" s="385"/>
      <c r="N24" s="385"/>
      <c r="O24" s="391" t="str">
        <f>IF(O23="","",J35-O23)</f>
        <v/>
      </c>
      <c r="P24" s="394" t="s">
        <v>19</v>
      </c>
      <c r="Q24" s="7"/>
      <c r="R24" s="7"/>
      <c r="S24" s="4"/>
      <c r="T24" s="2"/>
      <c r="AD24" s="190"/>
      <c r="AE24" s="12"/>
      <c r="AF24" s="10"/>
      <c r="AG24" s="12"/>
      <c r="AH24" s="9"/>
      <c r="AI24" s="190"/>
      <c r="AN24" s="70">
        <v>1</v>
      </c>
      <c r="AR24" s="153"/>
      <c r="AS24" s="153"/>
      <c r="AT24" s="155"/>
      <c r="AU24" s="153"/>
      <c r="AV24" s="142"/>
      <c r="AW24" s="188">
        <v>6</v>
      </c>
      <c r="AX24" s="359" t="s">
        <v>199</v>
      </c>
      <c r="AY24" s="222"/>
      <c r="AZ24" s="238">
        <v>80</v>
      </c>
      <c r="BA24" s="188"/>
      <c r="BB24" s="142"/>
      <c r="BC24" s="142"/>
      <c r="BD24" s="142"/>
      <c r="BE24" s="188"/>
      <c r="BF24" s="188"/>
      <c r="BG24" s="188"/>
      <c r="BH24" s="188"/>
      <c r="BK24" s="451"/>
      <c r="BL24" s="451"/>
      <c r="BM24" s="451"/>
      <c r="BN24" s="451"/>
      <c r="BO24" s="451"/>
      <c r="BP24" s="451"/>
    </row>
    <row r="25" spans="1:68" ht="17.25" customHeight="1" x14ac:dyDescent="0.25">
      <c r="A25" s="16"/>
      <c r="B25" s="543"/>
      <c r="C25" s="543"/>
      <c r="D25" s="543"/>
      <c r="E25" s="543"/>
      <c r="F25" s="427"/>
      <c r="G25" s="440" t="s">
        <v>18</v>
      </c>
      <c r="H25" s="440"/>
      <c r="I25" s="440"/>
      <c r="J25" s="441" t="str">
        <f>IF(J23="","",INDEX(BJ19:BO23,BB25,AW25))</f>
        <v/>
      </c>
      <c r="K25" s="440"/>
      <c r="L25" s="416" t="s">
        <v>125</v>
      </c>
      <c r="M25" s="385"/>
      <c r="N25" s="385"/>
      <c r="O25" s="391" t="str">
        <f>IF(O23="", "", (J33-O23)/2.31)</f>
        <v/>
      </c>
      <c r="P25" s="394" t="s">
        <v>2</v>
      </c>
      <c r="Q25" s="7"/>
      <c r="R25" s="7"/>
      <c r="S25" s="4"/>
      <c r="T25" s="2"/>
      <c r="AD25" s="190"/>
      <c r="AE25" s="12"/>
      <c r="AF25" s="10"/>
      <c r="AG25" s="12"/>
      <c r="AH25" s="205"/>
      <c r="AI25" s="190"/>
      <c r="AM25" t="s">
        <v>97</v>
      </c>
      <c r="AN25" s="70"/>
      <c r="AR25" s="153"/>
      <c r="AS25" s="153"/>
      <c r="AT25" s="155"/>
      <c r="AU25" s="153"/>
      <c r="AV25" s="142"/>
      <c r="AW25" s="76">
        <v>1</v>
      </c>
      <c r="AX25" s="194" t="s">
        <v>133</v>
      </c>
      <c r="AY25" s="188"/>
      <c r="AZ25" s="142" t="str">
        <f>CHOOSE(AW25,"",150,150,150,130,80)</f>
        <v/>
      </c>
      <c r="BA25" s="188"/>
      <c r="BB25" s="76">
        <v>1</v>
      </c>
      <c r="BC25" s="148" t="s">
        <v>133</v>
      </c>
      <c r="BD25" s="142"/>
      <c r="BE25" s="188"/>
      <c r="BF25" s="188"/>
      <c r="BG25" s="188"/>
      <c r="BH25" s="188"/>
      <c r="BK25" s="451"/>
      <c r="BL25" s="451"/>
      <c r="BM25" s="451"/>
      <c r="BN25" s="451"/>
      <c r="BO25" s="451"/>
      <c r="BP25" s="451"/>
    </row>
    <row r="26" spans="1:68" ht="14.25" customHeight="1" x14ac:dyDescent="0.25">
      <c r="A26" s="16"/>
      <c r="B26" s="385" t="s">
        <v>119</v>
      </c>
      <c r="C26" s="385"/>
      <c r="D26" s="385"/>
      <c r="E26" s="389"/>
      <c r="F26" s="385" t="s">
        <v>2</v>
      </c>
      <c r="G26" s="442" t="s">
        <v>54</v>
      </c>
      <c r="H26" s="443"/>
      <c r="I26" s="443"/>
      <c r="J26" s="411" t="str">
        <f>IF(BB25=1,"",IF(E22="","",E22*0.002228/J24))</f>
        <v/>
      </c>
      <c r="K26" s="417" t="s">
        <v>53</v>
      </c>
      <c r="L26" s="433" t="s">
        <v>52</v>
      </c>
      <c r="M26" s="421"/>
      <c r="N26" s="421"/>
      <c r="O26" s="385"/>
      <c r="P26" s="394"/>
      <c r="Q26" s="5"/>
      <c r="R26" s="5"/>
      <c r="S26" s="4"/>
      <c r="T26" s="2"/>
      <c r="AB26" s="2"/>
      <c r="AC26" s="2"/>
      <c r="AD26" s="190"/>
      <c r="AE26" s="10"/>
      <c r="AF26" s="10"/>
      <c r="AG26" s="10"/>
      <c r="AH26" s="205"/>
      <c r="AI26" s="190"/>
      <c r="AM26" t="s">
        <v>98</v>
      </c>
      <c r="AN26" s="70"/>
      <c r="BK26" s="451"/>
      <c r="BL26" s="451"/>
      <c r="BM26" s="451"/>
      <c r="BN26" s="451"/>
      <c r="BO26" s="451"/>
      <c r="BP26" s="451"/>
    </row>
    <row r="27" spans="1:68" ht="15" customHeight="1" x14ac:dyDescent="0.25">
      <c r="A27" s="16"/>
      <c r="B27" s="559" t="s">
        <v>88</v>
      </c>
      <c r="C27" s="559"/>
      <c r="D27" s="559"/>
      <c r="E27" s="559"/>
      <c r="F27" s="385"/>
      <c r="G27" s="559" t="s">
        <v>211</v>
      </c>
      <c r="H27" s="559"/>
      <c r="I27" s="559"/>
      <c r="J27" s="559"/>
      <c r="K27" s="559"/>
      <c r="L27" s="409"/>
      <c r="M27" s="421" t="s">
        <v>48</v>
      </c>
      <c r="N27" s="434"/>
      <c r="O27" s="389"/>
      <c r="P27" s="394" t="s">
        <v>11</v>
      </c>
      <c r="Q27" s="4"/>
      <c r="R27" s="4"/>
      <c r="S27" s="4"/>
      <c r="T27" s="2"/>
      <c r="AB27" s="2"/>
      <c r="AC27" s="2"/>
      <c r="AD27" s="190"/>
      <c r="AE27" s="10"/>
      <c r="AF27" s="10"/>
      <c r="AG27" s="10"/>
      <c r="AH27" s="205"/>
      <c r="AI27" s="190"/>
      <c r="AN27" s="70"/>
      <c r="BK27" s="459" t="s">
        <v>122</v>
      </c>
      <c r="BL27" s="460"/>
      <c r="BM27" s="460"/>
      <c r="BN27" s="461"/>
      <c r="BO27" s="451"/>
      <c r="BP27" s="451"/>
    </row>
    <row r="28" spans="1:68" ht="16.5" customHeight="1" x14ac:dyDescent="0.25">
      <c r="A28" s="16"/>
      <c r="B28" s="559"/>
      <c r="C28" s="559"/>
      <c r="D28" s="559"/>
      <c r="E28" s="559"/>
      <c r="F28" s="385"/>
      <c r="G28" s="559"/>
      <c r="H28" s="559"/>
      <c r="I28" s="559"/>
      <c r="J28" s="559"/>
      <c r="K28" s="559"/>
      <c r="L28" s="409"/>
      <c r="M28" s="421" t="s">
        <v>61</v>
      </c>
      <c r="N28" s="434"/>
      <c r="O28" s="390" t="str">
        <f>IF(O27="","",ROUND(O27*1.1,0))</f>
        <v/>
      </c>
      <c r="P28" s="394" t="s">
        <v>11</v>
      </c>
      <c r="Q28" s="7"/>
      <c r="R28" s="7"/>
      <c r="S28" s="4"/>
      <c r="T28" s="2"/>
      <c r="AB28" s="2"/>
      <c r="AC28" s="51"/>
      <c r="AD28" s="190"/>
      <c r="AE28" s="10"/>
      <c r="AF28" s="10"/>
      <c r="AG28" s="10"/>
      <c r="AH28" s="205"/>
      <c r="AI28" s="190"/>
      <c r="AN28" s="70">
        <v>1</v>
      </c>
      <c r="AX28" s="222" t="s">
        <v>241</v>
      </c>
      <c r="BK28" s="462" t="s">
        <v>240</v>
      </c>
      <c r="BL28" s="460"/>
      <c r="BM28" s="460"/>
      <c r="BN28" s="461"/>
      <c r="BO28" s="451"/>
      <c r="BP28" s="451"/>
    </row>
    <row r="29" spans="1:68" ht="12.75" customHeight="1" x14ac:dyDescent="0.25">
      <c r="A29" s="16"/>
      <c r="B29" s="385"/>
      <c r="C29" s="385"/>
      <c r="D29" s="385"/>
      <c r="E29" s="385"/>
      <c r="F29" s="385"/>
      <c r="G29" s="417" t="s">
        <v>76</v>
      </c>
      <c r="H29" s="417"/>
      <c r="I29" s="417"/>
      <c r="J29" s="444"/>
      <c r="K29" s="417" t="s">
        <v>2</v>
      </c>
      <c r="L29" s="409"/>
      <c r="M29" s="421" t="s">
        <v>49</v>
      </c>
      <c r="N29" s="434"/>
      <c r="O29" s="391" t="str">
        <f>IF(O27="","",1043.8*POWER(O21/AZ25,1.85)/POWER(J23,4.87))</f>
        <v/>
      </c>
      <c r="P29" s="395" t="s">
        <v>85</v>
      </c>
      <c r="Q29" s="7"/>
      <c r="R29" s="7"/>
      <c r="S29" s="4"/>
      <c r="T29" s="2"/>
      <c r="AB29" s="8"/>
      <c r="AC29" s="8"/>
      <c r="AD29" s="9"/>
      <c r="AE29" s="9"/>
      <c r="AF29" s="9"/>
      <c r="AG29" s="9"/>
      <c r="AH29" s="9"/>
      <c r="AI29" s="190"/>
      <c r="AM29" t="s">
        <v>99</v>
      </c>
      <c r="AN29" s="70"/>
      <c r="AX29" s="222" t="s">
        <v>242</v>
      </c>
      <c r="BK29" s="451"/>
      <c r="BL29" s="451"/>
      <c r="BM29" s="451"/>
      <c r="BN29" s="451"/>
      <c r="BO29" s="451"/>
      <c r="BP29" s="451"/>
    </row>
    <row r="30" spans="1:68" ht="14.25" customHeight="1" x14ac:dyDescent="0.25">
      <c r="A30" s="16"/>
      <c r="B30" s="428" t="s">
        <v>120</v>
      </c>
      <c r="C30" s="385"/>
      <c r="D30" s="385"/>
      <c r="E30" s="389"/>
      <c r="F30" s="385" t="s">
        <v>2</v>
      </c>
      <c r="G30" s="417" t="s">
        <v>78</v>
      </c>
      <c r="H30" s="417"/>
      <c r="I30" s="417"/>
      <c r="J30" s="445" t="str">
        <f>IF(J29="","",0.72*J29)</f>
        <v/>
      </c>
      <c r="K30" s="417" t="s">
        <v>2</v>
      </c>
      <c r="L30" s="385"/>
      <c r="M30" s="421" t="s">
        <v>50</v>
      </c>
      <c r="N30" s="385"/>
      <c r="O30" s="391" t="str">
        <f>IF(O27="","",O28/100*O29)</f>
        <v/>
      </c>
      <c r="P30" s="394" t="s">
        <v>11</v>
      </c>
      <c r="Q30" s="7"/>
      <c r="R30" s="7"/>
      <c r="S30" s="4"/>
      <c r="T30" s="2"/>
      <c r="AB30" s="8"/>
      <c r="AC30" s="8"/>
      <c r="AD30" s="9"/>
      <c r="AE30" s="206"/>
      <c r="AF30" s="190"/>
      <c r="AG30" s="9"/>
      <c r="AH30" s="9"/>
      <c r="AI30" s="190"/>
      <c r="AM30" t="s">
        <v>100</v>
      </c>
      <c r="AN30" s="70"/>
      <c r="BK30" s="451" t="s">
        <v>243</v>
      </c>
      <c r="BL30" s="451"/>
      <c r="BM30" s="451"/>
      <c r="BN30" s="451"/>
      <c r="BO30" s="451"/>
      <c r="BP30" s="451"/>
    </row>
    <row r="31" spans="1:68" ht="12" customHeight="1" x14ac:dyDescent="0.25">
      <c r="A31" s="16"/>
      <c r="B31" s="559" t="s">
        <v>178</v>
      </c>
      <c r="C31" s="559"/>
      <c r="D31" s="559"/>
      <c r="E31" s="559"/>
      <c r="F31" s="385"/>
      <c r="G31" s="446"/>
      <c r="H31" s="443"/>
      <c r="I31" s="443"/>
      <c r="J31" s="443"/>
      <c r="K31" s="417"/>
      <c r="L31" s="543" t="s">
        <v>62</v>
      </c>
      <c r="M31" s="543"/>
      <c r="N31" s="543"/>
      <c r="O31" s="543"/>
      <c r="P31" s="435"/>
      <c r="Q31" s="7"/>
      <c r="R31" s="7"/>
      <c r="S31" s="4"/>
      <c r="T31" s="2"/>
      <c r="AB31" s="8"/>
      <c r="AC31" s="8"/>
      <c r="AD31" s="9"/>
      <c r="AE31" s="9"/>
      <c r="AF31" s="190"/>
      <c r="AG31" s="9"/>
      <c r="AH31" s="9"/>
      <c r="AI31" s="190"/>
      <c r="AN31" s="70"/>
      <c r="BK31" s="451"/>
      <c r="BL31" s="451"/>
      <c r="BM31" s="451"/>
      <c r="BN31" s="451"/>
      <c r="BO31" s="451"/>
      <c r="BP31" s="451"/>
    </row>
    <row r="32" spans="1:68" ht="18.75" customHeight="1" x14ac:dyDescent="0.25">
      <c r="A32" s="16"/>
      <c r="B32" s="559"/>
      <c r="C32" s="559"/>
      <c r="D32" s="559"/>
      <c r="E32" s="559"/>
      <c r="F32" s="385"/>
      <c r="G32" s="414" t="s">
        <v>80</v>
      </c>
      <c r="H32" s="417"/>
      <c r="I32" s="417"/>
      <c r="J32" s="417"/>
      <c r="K32" s="417"/>
      <c r="L32" s="543"/>
      <c r="M32" s="543"/>
      <c r="N32" s="543"/>
      <c r="O32" s="543"/>
      <c r="P32" s="395"/>
      <c r="Q32" s="7"/>
      <c r="R32" s="7"/>
      <c r="S32" s="4"/>
      <c r="T32" s="4"/>
      <c r="AB32" s="8"/>
      <c r="AC32" s="8"/>
      <c r="AD32" s="9"/>
      <c r="AE32" s="9"/>
      <c r="AF32" s="9"/>
      <c r="AG32" s="9"/>
      <c r="AH32" s="9"/>
      <c r="AI32" s="190"/>
      <c r="AN32" s="70">
        <v>1</v>
      </c>
    </row>
    <row r="33" spans="1:62" ht="15" customHeight="1" x14ac:dyDescent="0.25">
      <c r="A33" s="16"/>
      <c r="B33" s="4"/>
      <c r="C33" s="4"/>
      <c r="D33" s="4"/>
      <c r="E33" s="4"/>
      <c r="F33" s="4"/>
      <c r="G33" s="417" t="s">
        <v>89</v>
      </c>
      <c r="H33" s="447"/>
      <c r="I33" s="447"/>
      <c r="J33" s="407"/>
      <c r="K33" s="417" t="s">
        <v>11</v>
      </c>
      <c r="L33" s="561" t="s">
        <v>68</v>
      </c>
      <c r="M33" s="562"/>
      <c r="N33" s="580" t="s">
        <v>82</v>
      </c>
      <c r="O33" s="396" t="str">
        <f>IF(O27="","",O30+O24)</f>
        <v/>
      </c>
      <c r="P33" s="394" t="s">
        <v>19</v>
      </c>
      <c r="Q33" s="7"/>
      <c r="R33" s="7"/>
      <c r="S33" s="4"/>
      <c r="T33" s="2"/>
      <c r="AB33" s="8"/>
      <c r="AC33" s="8"/>
      <c r="AD33" s="9"/>
      <c r="AE33" s="190"/>
      <c r="AF33" s="190"/>
      <c r="AG33" s="190"/>
      <c r="AH33" s="190"/>
      <c r="AI33" s="190"/>
      <c r="AM33" t="s">
        <v>101</v>
      </c>
      <c r="AN33" s="70"/>
    </row>
    <row r="34" spans="1:62" ht="15" customHeight="1" x14ac:dyDescent="0.25">
      <c r="A34" s="16"/>
      <c r="B34" s="4"/>
      <c r="C34" s="4"/>
      <c r="D34" s="4"/>
      <c r="E34" s="4"/>
      <c r="F34" s="4"/>
      <c r="G34" s="417" t="s">
        <v>231</v>
      </c>
      <c r="H34" s="447"/>
      <c r="I34" s="447"/>
      <c r="J34" s="407"/>
      <c r="K34" s="417" t="s">
        <v>11</v>
      </c>
      <c r="L34" s="563"/>
      <c r="M34" s="564"/>
      <c r="N34" s="581"/>
      <c r="O34" s="397" t="s">
        <v>7</v>
      </c>
      <c r="P34" s="395"/>
      <c r="Q34" s="7"/>
      <c r="R34" s="7"/>
      <c r="S34" s="4"/>
      <c r="T34" s="2"/>
      <c r="AB34" s="8"/>
      <c r="AC34" s="8"/>
      <c r="AD34" s="9"/>
      <c r="AE34" s="190"/>
      <c r="AF34" s="190"/>
      <c r="AG34" s="190"/>
      <c r="AH34" s="190"/>
      <c r="AI34" s="190"/>
      <c r="AL34" s="1"/>
      <c r="AM34" t="s">
        <v>102</v>
      </c>
      <c r="AN34" s="70"/>
      <c r="AO34" s="1"/>
      <c r="AP34" s="1"/>
      <c r="AQ34" s="1"/>
      <c r="AR34" s="1"/>
    </row>
    <row r="35" spans="1:62" ht="14.25" customHeight="1" x14ac:dyDescent="0.25">
      <c r="A35" s="16"/>
      <c r="B35" s="191"/>
      <c r="C35" s="4"/>
      <c r="D35" s="4"/>
      <c r="E35" s="4"/>
      <c r="F35" s="4"/>
      <c r="G35" s="417" t="s">
        <v>126</v>
      </c>
      <c r="H35" s="447"/>
      <c r="I35" s="447"/>
      <c r="J35" s="438" t="str">
        <f>IF(J33="","",J33-J34)</f>
        <v/>
      </c>
      <c r="K35" s="417" t="s">
        <v>11</v>
      </c>
      <c r="L35" s="565"/>
      <c r="M35" s="566"/>
      <c r="N35" s="582"/>
      <c r="O35" s="398" t="str">
        <f>IF(O27="","",O33/2.31)</f>
        <v/>
      </c>
      <c r="P35" s="388" t="s">
        <v>2</v>
      </c>
      <c r="Q35" s="7"/>
      <c r="R35" s="7"/>
      <c r="S35" s="4"/>
      <c r="T35" s="2"/>
      <c r="AB35" s="8"/>
      <c r="AC35" s="8"/>
      <c r="AD35" s="8"/>
      <c r="AL35" s="1"/>
      <c r="AM35" s="1"/>
      <c r="AN35" s="70"/>
      <c r="AO35" s="1"/>
      <c r="AP35" s="1"/>
      <c r="AQ35" s="1"/>
      <c r="AR35" s="1"/>
    </row>
    <row r="36" spans="1:62" s="188" customFormat="1" ht="14.25" customHeight="1" x14ac:dyDescent="0.25">
      <c r="A36" s="40"/>
      <c r="B36" s="189"/>
      <c r="C36" s="17"/>
      <c r="D36" s="17"/>
      <c r="E36" s="17"/>
      <c r="F36" s="17"/>
      <c r="G36" s="431"/>
      <c r="H36" s="431"/>
      <c r="I36" s="431"/>
      <c r="J36" s="431"/>
      <c r="K36" s="431"/>
      <c r="L36" s="195"/>
      <c r="M36" s="195"/>
      <c r="N36" s="201"/>
      <c r="O36" s="202"/>
      <c r="P36" s="122"/>
      <c r="Q36" s="7"/>
      <c r="R36" s="7"/>
      <c r="S36" s="4"/>
      <c r="T36" s="190"/>
      <c r="AB36" s="8"/>
      <c r="AC36" s="8"/>
      <c r="AD36" s="8"/>
      <c r="AL36" s="1"/>
      <c r="AM36" s="1"/>
      <c r="AN36" s="70"/>
      <c r="AO36" s="1"/>
      <c r="AP36" s="1"/>
      <c r="AQ36" s="1"/>
      <c r="AR36" s="1"/>
      <c r="BJ36" s="448"/>
    </row>
    <row r="37" spans="1:62" ht="19.5" customHeight="1" x14ac:dyDescent="0.3">
      <c r="A37" s="16"/>
      <c r="B37" s="50" t="s">
        <v>84</v>
      </c>
      <c r="C37" s="4"/>
      <c r="D37" s="4"/>
      <c r="E37" s="4"/>
      <c r="F37" s="4"/>
      <c r="G37" s="4"/>
      <c r="H37" s="4"/>
      <c r="I37" s="4"/>
      <c r="J37" s="4"/>
      <c r="K37" s="2"/>
      <c r="L37" s="4"/>
      <c r="M37" s="35"/>
      <c r="N37" s="35"/>
      <c r="O37" s="4"/>
      <c r="P37" s="15"/>
      <c r="Q37" s="4"/>
      <c r="R37" s="4"/>
      <c r="S37" s="4"/>
      <c r="T37" s="2"/>
      <c r="AL37" s="1"/>
      <c r="AN37" s="70">
        <v>1</v>
      </c>
      <c r="AO37" s="1"/>
      <c r="AP37" s="1"/>
      <c r="AQ37" s="1"/>
      <c r="AR37" s="1"/>
    </row>
    <row r="38" spans="1:62" ht="12.75" customHeight="1" x14ac:dyDescent="0.25">
      <c r="A38" s="16"/>
      <c r="B38" s="437" t="s">
        <v>42</v>
      </c>
      <c r="C38" s="18"/>
      <c r="D38" s="4"/>
      <c r="E38" s="4"/>
      <c r="F38" s="433" t="s">
        <v>69</v>
      </c>
      <c r="G38" s="4"/>
      <c r="H38" s="4"/>
      <c r="I38" s="4"/>
      <c r="J38" s="4"/>
      <c r="K38" s="436" t="s">
        <v>266</v>
      </c>
      <c r="L38" s="4"/>
      <c r="M38" s="4"/>
      <c r="N38" s="4"/>
      <c r="O38" s="4"/>
      <c r="P38" s="14"/>
      <c r="Q38" s="4"/>
      <c r="R38" s="4"/>
      <c r="S38" s="4"/>
      <c r="T38" s="2"/>
      <c r="AL38" s="1"/>
      <c r="AM38" t="s">
        <v>103</v>
      </c>
      <c r="AN38" s="70"/>
      <c r="AO38" s="1"/>
      <c r="AP38" s="1"/>
      <c r="AQ38" s="1"/>
      <c r="AR38" s="1"/>
    </row>
    <row r="39" spans="1:62" ht="15" customHeight="1" x14ac:dyDescent="0.25">
      <c r="A39" s="16"/>
      <c r="B39" s="559" t="s">
        <v>116</v>
      </c>
      <c r="C39" s="559"/>
      <c r="D39" s="559"/>
      <c r="E39" s="203"/>
      <c r="F39" s="543" t="s">
        <v>114</v>
      </c>
      <c r="G39" s="543"/>
      <c r="H39" s="543"/>
      <c r="I39" s="543"/>
      <c r="J39" s="204"/>
      <c r="K39" s="543" t="s">
        <v>90</v>
      </c>
      <c r="L39" s="543"/>
      <c r="M39" s="543"/>
      <c r="N39" s="543"/>
      <c r="O39" s="46"/>
      <c r="P39" s="14"/>
      <c r="Q39" s="4"/>
      <c r="R39" s="4"/>
      <c r="S39" s="4"/>
      <c r="T39" s="2"/>
      <c r="AL39" s="1"/>
      <c r="AM39" t="s">
        <v>104</v>
      </c>
      <c r="AN39" s="70"/>
      <c r="AO39" s="1"/>
      <c r="AP39" s="1"/>
      <c r="AQ39" s="1"/>
      <c r="AR39" s="1"/>
    </row>
    <row r="40" spans="1:62" ht="30" customHeight="1" x14ac:dyDescent="0.25">
      <c r="A40" s="16"/>
      <c r="B40" s="583"/>
      <c r="C40" s="583"/>
      <c r="D40" s="583"/>
      <c r="E40" s="25"/>
      <c r="F40" s="556"/>
      <c r="G40" s="556"/>
      <c r="H40" s="556"/>
      <c r="I40" s="556"/>
      <c r="J40" s="26"/>
      <c r="K40" s="556"/>
      <c r="L40" s="556"/>
      <c r="M40" s="556"/>
      <c r="N40" s="556"/>
      <c r="O40" s="46"/>
      <c r="P40" s="14"/>
      <c r="Q40" s="7"/>
      <c r="S40" s="4"/>
      <c r="T40" s="2"/>
      <c r="AL40" s="1"/>
      <c r="AM40" s="1"/>
      <c r="AN40" s="70"/>
      <c r="AO40" s="1"/>
      <c r="AP40" s="1"/>
      <c r="AQ40" s="1"/>
      <c r="AR40" s="1"/>
    </row>
    <row r="41" spans="1:62" ht="61.5" customHeight="1" x14ac:dyDescent="0.25">
      <c r="A41" s="16"/>
      <c r="B41" s="399" t="s">
        <v>207</v>
      </c>
      <c r="C41" s="400" t="s">
        <v>17</v>
      </c>
      <c r="D41" s="400" t="s">
        <v>16</v>
      </c>
      <c r="E41" s="388"/>
      <c r="F41" s="400" t="s">
        <v>115</v>
      </c>
      <c r="G41" s="400" t="s">
        <v>118</v>
      </c>
      <c r="H41" s="400" t="s">
        <v>14</v>
      </c>
      <c r="I41" s="400" t="s">
        <v>15</v>
      </c>
      <c r="J41" s="401"/>
      <c r="K41" s="402" t="s">
        <v>41</v>
      </c>
      <c r="L41" s="400" t="s">
        <v>24</v>
      </c>
      <c r="M41" s="400" t="s">
        <v>23</v>
      </c>
      <c r="N41" s="400" t="s">
        <v>123</v>
      </c>
      <c r="O41" s="549" t="s">
        <v>259</v>
      </c>
      <c r="P41" s="550"/>
      <c r="Q41" s="4"/>
      <c r="R41" s="4"/>
      <c r="S41" s="4"/>
      <c r="T41" s="2"/>
      <c r="AL41" s="1"/>
      <c r="AN41" s="70">
        <v>1</v>
      </c>
      <c r="AO41" s="1"/>
      <c r="AP41" s="1"/>
      <c r="AQ41" s="1"/>
      <c r="AR41" s="1"/>
    </row>
    <row r="42" spans="1:62" ht="17.399999999999999" customHeight="1" x14ac:dyDescent="0.25">
      <c r="A42" s="69"/>
      <c r="B42" s="63" t="s">
        <v>8</v>
      </c>
      <c r="C42" s="377"/>
      <c r="D42" s="378" t="str">
        <f>IF(C42="","",C42+2)</f>
        <v/>
      </c>
      <c r="E42" s="380"/>
      <c r="F42" s="381"/>
      <c r="G42" s="378" t="str">
        <f t="shared" ref="G42:G51" si="5">IF(F42="","",$J$35-D42)</f>
        <v/>
      </c>
      <c r="H42" s="382" t="str">
        <f>IF(F42="","",IF($BB$25=1,"",$J$24*360*SQRT(64.4*G42/$J$25/F42)))</f>
        <v/>
      </c>
      <c r="I42" s="378" t="str">
        <f t="shared" ref="I42:I51" si="6">IF(F42="","",($J$33-C42)/2.31)</f>
        <v/>
      </c>
      <c r="J42" s="383"/>
      <c r="K42" s="384" t="s">
        <v>91</v>
      </c>
      <c r="L42" s="381"/>
      <c r="M42" s="378" t="str">
        <f>IF(L42="","",$J$35-D42)</f>
        <v/>
      </c>
      <c r="N42" s="382" t="str">
        <f>IF(L42="","",$J$24*450*SQRT(64.4*M42/$J$25/L42))</f>
        <v/>
      </c>
      <c r="O42" s="549"/>
      <c r="P42" s="550"/>
      <c r="Q42" s="4"/>
      <c r="R42" s="4"/>
      <c r="S42" s="4"/>
      <c r="T42" s="2"/>
      <c r="AL42" s="1"/>
      <c r="AM42" t="s">
        <v>105</v>
      </c>
      <c r="AN42" s="70"/>
      <c r="AO42" s="1"/>
      <c r="AP42" s="1"/>
      <c r="AQ42" s="1"/>
      <c r="AR42" s="1"/>
    </row>
    <row r="43" spans="1:62" ht="17.399999999999999" customHeight="1" x14ac:dyDescent="0.25">
      <c r="A43" s="69"/>
      <c r="B43" s="63" t="s">
        <v>9</v>
      </c>
      <c r="C43" s="379"/>
      <c r="D43" s="378" t="str">
        <f t="shared" ref="D43:D51" si="7">IF(C43="","",C43+2)</f>
        <v/>
      </c>
      <c r="E43" s="385"/>
      <c r="F43" s="386"/>
      <c r="G43" s="378" t="str">
        <f t="shared" si="5"/>
        <v/>
      </c>
      <c r="H43" s="382" t="str">
        <f t="shared" ref="H43:H51" si="8">IF(F43="","",IF($BB$25=1,"",$J$24*360*SQRT(64.4*G43/$J$25/F43)))</f>
        <v/>
      </c>
      <c r="I43" s="378" t="str">
        <f t="shared" si="6"/>
        <v/>
      </c>
      <c r="J43" s="383"/>
      <c r="K43" s="387" t="s">
        <v>32</v>
      </c>
      <c r="L43" s="386"/>
      <c r="M43" s="378" t="str">
        <f t="shared" ref="M43:M51" si="9">IF(L43="","",D42-D43)</f>
        <v/>
      </c>
      <c r="N43" s="382" t="str">
        <f t="shared" ref="N43:N51" si="10">IF(L43="","",$J$24*450*SQRT(64.4*M43/$J$25/L43))</f>
        <v/>
      </c>
      <c r="O43" s="549"/>
      <c r="P43" s="550"/>
      <c r="Q43" s="4"/>
      <c r="R43" s="4"/>
      <c r="S43" s="4"/>
      <c r="T43" s="2"/>
      <c r="AL43" s="1"/>
      <c r="AM43" t="s">
        <v>106</v>
      </c>
      <c r="AN43" s="70"/>
      <c r="AO43" s="1"/>
      <c r="AP43" s="1"/>
      <c r="AQ43" s="1"/>
      <c r="AR43" s="1"/>
    </row>
    <row r="44" spans="1:62" ht="17.399999999999999" customHeight="1" x14ac:dyDescent="0.25">
      <c r="A44" s="69"/>
      <c r="B44" s="63" t="s">
        <v>10</v>
      </c>
      <c r="C44" s="379"/>
      <c r="D44" s="378" t="str">
        <f t="shared" si="7"/>
        <v/>
      </c>
      <c r="E44" s="385"/>
      <c r="F44" s="386"/>
      <c r="G44" s="378" t="str">
        <f t="shared" si="5"/>
        <v/>
      </c>
      <c r="H44" s="382" t="str">
        <f t="shared" si="8"/>
        <v/>
      </c>
      <c r="I44" s="378" t="str">
        <f t="shared" si="6"/>
        <v/>
      </c>
      <c r="J44" s="383"/>
      <c r="K44" s="387" t="s">
        <v>33</v>
      </c>
      <c r="L44" s="386"/>
      <c r="M44" s="378" t="str">
        <f t="shared" si="9"/>
        <v/>
      </c>
      <c r="N44" s="382" t="str">
        <f t="shared" si="10"/>
        <v/>
      </c>
      <c r="O44" s="549"/>
      <c r="P44" s="550"/>
      <c r="Q44" s="4"/>
      <c r="R44" s="4"/>
      <c r="S44" s="4"/>
      <c r="T44" s="2"/>
      <c r="Y44" s="8"/>
      <c r="Z44" s="8"/>
      <c r="AL44" s="1"/>
      <c r="AM44" s="1"/>
      <c r="AN44" s="70"/>
      <c r="AO44" s="1"/>
      <c r="AP44" s="1"/>
      <c r="AQ44" s="1"/>
      <c r="AR44" s="1"/>
    </row>
    <row r="45" spans="1:62" ht="17.399999999999999" customHeight="1" x14ac:dyDescent="0.25">
      <c r="A45" s="69"/>
      <c r="B45" s="63" t="s">
        <v>25</v>
      </c>
      <c r="C45" s="379"/>
      <c r="D45" s="378" t="str">
        <f t="shared" si="7"/>
        <v/>
      </c>
      <c r="E45" s="385"/>
      <c r="F45" s="386"/>
      <c r="G45" s="378" t="str">
        <f t="shared" si="5"/>
        <v/>
      </c>
      <c r="H45" s="382" t="str">
        <f t="shared" si="8"/>
        <v/>
      </c>
      <c r="I45" s="378" t="str">
        <f t="shared" si="6"/>
        <v/>
      </c>
      <c r="J45" s="383"/>
      <c r="K45" s="387" t="s">
        <v>34</v>
      </c>
      <c r="L45" s="386"/>
      <c r="M45" s="378" t="str">
        <f t="shared" si="9"/>
        <v/>
      </c>
      <c r="N45" s="382" t="str">
        <f t="shared" si="10"/>
        <v/>
      </c>
      <c r="O45" s="549"/>
      <c r="P45" s="550"/>
      <c r="Q45" s="4"/>
      <c r="R45" s="4"/>
      <c r="S45" s="4"/>
      <c r="T45" s="2"/>
      <c r="Y45" s="8"/>
      <c r="Z45" s="8"/>
      <c r="AA45" s="8"/>
      <c r="AL45" s="1"/>
      <c r="AN45" s="70">
        <v>1</v>
      </c>
      <c r="AO45" s="1"/>
      <c r="AP45" s="1"/>
      <c r="AQ45" s="1"/>
      <c r="AR45" s="1"/>
    </row>
    <row r="46" spans="1:62" ht="17.399999999999999" customHeight="1" x14ac:dyDescent="0.25">
      <c r="A46" s="69"/>
      <c r="B46" s="63" t="s">
        <v>26</v>
      </c>
      <c r="C46" s="379"/>
      <c r="D46" s="378" t="str">
        <f t="shared" si="7"/>
        <v/>
      </c>
      <c r="E46" s="385"/>
      <c r="F46" s="386"/>
      <c r="G46" s="378" t="str">
        <f t="shared" si="5"/>
        <v/>
      </c>
      <c r="H46" s="382" t="str">
        <f t="shared" si="8"/>
        <v/>
      </c>
      <c r="I46" s="378" t="str">
        <f t="shared" si="6"/>
        <v/>
      </c>
      <c r="J46" s="383"/>
      <c r="K46" s="387" t="s">
        <v>35</v>
      </c>
      <c r="L46" s="386"/>
      <c r="M46" s="378" t="str">
        <f t="shared" si="9"/>
        <v/>
      </c>
      <c r="N46" s="382" t="str">
        <f t="shared" si="10"/>
        <v/>
      </c>
      <c r="O46" s="549"/>
      <c r="P46" s="550"/>
      <c r="Q46" s="4"/>
      <c r="R46" s="4"/>
      <c r="S46" s="4"/>
      <c r="T46" s="2"/>
      <c r="Y46" s="8"/>
      <c r="Z46" s="8"/>
      <c r="AA46" s="8"/>
      <c r="AL46" s="1"/>
      <c r="AM46" t="s">
        <v>107</v>
      </c>
      <c r="AN46" s="70"/>
      <c r="AO46" s="1"/>
      <c r="AP46" s="1"/>
      <c r="AQ46" s="1"/>
      <c r="AR46" s="1"/>
    </row>
    <row r="47" spans="1:62" ht="17.399999999999999" customHeight="1" x14ac:dyDescent="0.25">
      <c r="A47" s="69"/>
      <c r="B47" s="63" t="s">
        <v>27</v>
      </c>
      <c r="C47" s="379"/>
      <c r="D47" s="378" t="str">
        <f t="shared" si="7"/>
        <v/>
      </c>
      <c r="E47" s="385"/>
      <c r="F47" s="386"/>
      <c r="G47" s="378" t="str">
        <f t="shared" si="5"/>
        <v/>
      </c>
      <c r="H47" s="382" t="str">
        <f t="shared" si="8"/>
        <v/>
      </c>
      <c r="I47" s="378" t="str">
        <f t="shared" si="6"/>
        <v/>
      </c>
      <c r="J47" s="383"/>
      <c r="K47" s="387" t="s">
        <v>36</v>
      </c>
      <c r="L47" s="386"/>
      <c r="M47" s="378" t="str">
        <f t="shared" si="9"/>
        <v/>
      </c>
      <c r="N47" s="382" t="str">
        <f t="shared" si="10"/>
        <v/>
      </c>
      <c r="O47" s="549"/>
      <c r="P47" s="550"/>
      <c r="Q47" s="4"/>
      <c r="R47" s="4"/>
      <c r="S47" s="4"/>
      <c r="T47" s="2"/>
      <c r="Y47" s="8"/>
      <c r="Z47" s="8"/>
      <c r="AA47" s="8"/>
      <c r="AL47" s="1"/>
      <c r="AM47" t="s">
        <v>108</v>
      </c>
      <c r="AN47" s="70"/>
      <c r="AO47" s="1"/>
      <c r="AP47" s="1"/>
      <c r="AQ47" s="1"/>
      <c r="AR47" s="1"/>
    </row>
    <row r="48" spans="1:62" s="7" customFormat="1" ht="17.399999999999999" customHeight="1" x14ac:dyDescent="0.25">
      <c r="A48" s="69"/>
      <c r="B48" s="63" t="s">
        <v>28</v>
      </c>
      <c r="C48" s="379"/>
      <c r="D48" s="378" t="str">
        <f t="shared" si="7"/>
        <v/>
      </c>
      <c r="E48" s="385"/>
      <c r="F48" s="386"/>
      <c r="G48" s="378" t="str">
        <f t="shared" si="5"/>
        <v/>
      </c>
      <c r="H48" s="382" t="str">
        <f t="shared" si="8"/>
        <v/>
      </c>
      <c r="I48" s="378" t="str">
        <f t="shared" si="6"/>
        <v/>
      </c>
      <c r="J48" s="383"/>
      <c r="K48" s="387" t="s">
        <v>37</v>
      </c>
      <c r="L48" s="386"/>
      <c r="M48" s="378" t="str">
        <f t="shared" si="9"/>
        <v/>
      </c>
      <c r="N48" s="382" t="str">
        <f t="shared" si="10"/>
        <v/>
      </c>
      <c r="O48" s="57"/>
      <c r="P48" s="14"/>
      <c r="Q48" s="4"/>
      <c r="R48" s="4"/>
      <c r="S48" s="4"/>
      <c r="T48" s="4"/>
      <c r="Y48" s="8"/>
      <c r="Z48" s="8"/>
      <c r="AA48" s="8"/>
      <c r="AL48" s="1"/>
      <c r="AM48"/>
      <c r="AN48" s="70"/>
      <c r="AO48" s="1"/>
      <c r="AP48" s="1"/>
      <c r="AQ48" s="1"/>
      <c r="AR48" s="1"/>
    </row>
    <row r="49" spans="1:40" s="7" customFormat="1" ht="17.399999999999999" customHeight="1" x14ac:dyDescent="0.25">
      <c r="A49" s="69"/>
      <c r="B49" s="63" t="s">
        <v>29</v>
      </c>
      <c r="C49" s="379"/>
      <c r="D49" s="378" t="str">
        <f t="shared" si="7"/>
        <v/>
      </c>
      <c r="E49" s="385"/>
      <c r="F49" s="386"/>
      <c r="G49" s="378" t="str">
        <f t="shared" si="5"/>
        <v/>
      </c>
      <c r="H49" s="382" t="str">
        <f t="shared" si="8"/>
        <v/>
      </c>
      <c r="I49" s="378" t="str">
        <f t="shared" si="6"/>
        <v/>
      </c>
      <c r="J49" s="383"/>
      <c r="K49" s="387" t="s">
        <v>38</v>
      </c>
      <c r="L49" s="386"/>
      <c r="M49" s="378" t="str">
        <f t="shared" si="9"/>
        <v/>
      </c>
      <c r="N49" s="382" t="str">
        <f t="shared" si="10"/>
        <v/>
      </c>
      <c r="O49" s="57"/>
      <c r="P49" s="14"/>
      <c r="Q49" s="4"/>
      <c r="R49" s="4"/>
      <c r="S49" s="4"/>
      <c r="T49" s="4"/>
      <c r="Y49" s="8"/>
      <c r="Z49" s="8"/>
      <c r="AA49" s="8"/>
      <c r="AM49"/>
      <c r="AN49" s="71">
        <v>1</v>
      </c>
    </row>
    <row r="50" spans="1:40" ht="17.399999999999999" customHeight="1" x14ac:dyDescent="0.25">
      <c r="A50" s="69"/>
      <c r="B50" s="63" t="s">
        <v>30</v>
      </c>
      <c r="C50" s="379"/>
      <c r="D50" s="378" t="str">
        <f t="shared" si="7"/>
        <v/>
      </c>
      <c r="E50" s="385"/>
      <c r="F50" s="386"/>
      <c r="G50" s="378" t="str">
        <f t="shared" si="5"/>
        <v/>
      </c>
      <c r="H50" s="382" t="str">
        <f t="shared" si="8"/>
        <v/>
      </c>
      <c r="I50" s="378" t="str">
        <f t="shared" si="6"/>
        <v/>
      </c>
      <c r="J50" s="383"/>
      <c r="K50" s="387" t="s">
        <v>39</v>
      </c>
      <c r="L50" s="386"/>
      <c r="M50" s="378" t="str">
        <f t="shared" si="9"/>
        <v/>
      </c>
      <c r="N50" s="382" t="str">
        <f t="shared" si="10"/>
        <v/>
      </c>
      <c r="O50" s="57"/>
      <c r="P50" s="14"/>
      <c r="Q50" s="4"/>
      <c r="R50" s="4"/>
      <c r="S50" s="4"/>
      <c r="T50" s="2"/>
      <c r="Y50" s="8"/>
      <c r="Z50" s="8"/>
      <c r="AA50" s="8"/>
      <c r="AB50" s="8"/>
      <c r="AC50" s="8"/>
      <c r="AD50" s="8"/>
      <c r="AE50" s="8"/>
      <c r="AF50" s="8"/>
      <c r="AG50" s="8"/>
      <c r="AH50" s="8"/>
      <c r="AM50" t="s">
        <v>109</v>
      </c>
      <c r="AN50" s="70"/>
    </row>
    <row r="51" spans="1:40" ht="17.399999999999999" customHeight="1" x14ac:dyDescent="0.25">
      <c r="A51" s="69"/>
      <c r="B51" s="63" t="s">
        <v>31</v>
      </c>
      <c r="C51" s="379"/>
      <c r="D51" s="378" t="str">
        <f t="shared" si="7"/>
        <v/>
      </c>
      <c r="E51" s="388"/>
      <c r="F51" s="386"/>
      <c r="G51" s="378" t="str">
        <f t="shared" si="5"/>
        <v/>
      </c>
      <c r="H51" s="382" t="str">
        <f t="shared" si="8"/>
        <v/>
      </c>
      <c r="I51" s="378" t="str">
        <f t="shared" si="6"/>
        <v/>
      </c>
      <c r="J51" s="383"/>
      <c r="K51" s="387" t="s">
        <v>40</v>
      </c>
      <c r="L51" s="386"/>
      <c r="M51" s="378" t="str">
        <f t="shared" si="9"/>
        <v/>
      </c>
      <c r="N51" s="382" t="str">
        <f t="shared" si="10"/>
        <v/>
      </c>
      <c r="O51" s="57"/>
      <c r="P51" s="14"/>
      <c r="Q51" s="4"/>
      <c r="R51" s="4"/>
      <c r="S51" s="4"/>
      <c r="T51" s="9"/>
      <c r="U51" s="8"/>
      <c r="V51" s="8"/>
      <c r="W51" s="8"/>
      <c r="X51" s="8"/>
      <c r="Y51" s="8"/>
      <c r="Z51" s="8"/>
      <c r="AM51" t="s">
        <v>110</v>
      </c>
      <c r="AN51" s="70"/>
    </row>
    <row r="52" spans="1:40" ht="12.75" customHeight="1" x14ac:dyDescent="0.25">
      <c r="A52" s="16"/>
      <c r="B52" s="578" t="s">
        <v>43</v>
      </c>
      <c r="C52" s="578"/>
      <c r="D52" s="578"/>
      <c r="E52" s="4"/>
      <c r="F52" s="578" t="s">
        <v>258</v>
      </c>
      <c r="G52" s="562"/>
      <c r="H52" s="562"/>
      <c r="I52" s="562"/>
      <c r="J52" s="46"/>
      <c r="K52" s="578" t="s">
        <v>212</v>
      </c>
      <c r="L52" s="578"/>
      <c r="M52" s="578"/>
      <c r="N52" s="578"/>
      <c r="O52" s="46"/>
      <c r="P52" s="14"/>
      <c r="Q52" s="4"/>
      <c r="R52" s="4"/>
      <c r="S52" s="4"/>
      <c r="T52" s="2"/>
      <c r="AN52" s="70"/>
    </row>
    <row r="53" spans="1:40" ht="18.75" customHeight="1" x14ac:dyDescent="0.25">
      <c r="A53" s="16"/>
      <c r="B53" s="543"/>
      <c r="C53" s="543"/>
      <c r="D53" s="543"/>
      <c r="E53" s="2"/>
      <c r="F53" s="579"/>
      <c r="G53" s="579"/>
      <c r="H53" s="579"/>
      <c r="I53" s="579"/>
      <c r="J53" s="46"/>
      <c r="K53" s="543"/>
      <c r="L53" s="543"/>
      <c r="M53" s="543"/>
      <c r="N53" s="543"/>
      <c r="O53" s="46"/>
      <c r="P53" s="39"/>
      <c r="Q53" s="7"/>
      <c r="R53" s="4"/>
      <c r="S53" s="4"/>
      <c r="T53" s="2"/>
      <c r="AN53" s="70">
        <v>1</v>
      </c>
    </row>
    <row r="54" spans="1:40" x14ac:dyDescent="0.25">
      <c r="A54" s="16"/>
      <c r="B54" s="44"/>
      <c r="C54" s="45"/>
      <c r="D54" s="45"/>
      <c r="E54" s="4"/>
      <c r="F54" s="579"/>
      <c r="G54" s="579"/>
      <c r="H54" s="579"/>
      <c r="I54" s="579"/>
      <c r="J54" s="46"/>
      <c r="K54" s="543"/>
      <c r="L54" s="543"/>
      <c r="M54" s="543"/>
      <c r="N54" s="543"/>
      <c r="O54" s="46"/>
      <c r="P54" s="39"/>
      <c r="Q54" s="7"/>
      <c r="R54" s="4"/>
      <c r="S54" s="4"/>
      <c r="T54" s="2"/>
      <c r="AM54" t="s">
        <v>111</v>
      </c>
      <c r="AN54" s="70"/>
    </row>
    <row r="55" spans="1:40" ht="12.75" customHeight="1" x14ac:dyDescent="0.25">
      <c r="A55" s="16"/>
      <c r="B55" s="45"/>
      <c r="C55" s="45"/>
      <c r="D55" s="45"/>
      <c r="E55" s="4"/>
      <c r="F55" s="579"/>
      <c r="G55" s="579"/>
      <c r="H55" s="579"/>
      <c r="I55" s="579"/>
      <c r="J55" s="46"/>
      <c r="K55" s="543"/>
      <c r="L55" s="543"/>
      <c r="M55" s="543"/>
      <c r="N55" s="543"/>
      <c r="O55" s="46"/>
      <c r="P55" s="39"/>
      <c r="Q55" s="7"/>
      <c r="R55" s="4"/>
      <c r="S55" s="4"/>
      <c r="T55" s="2"/>
      <c r="AM55" t="s">
        <v>112</v>
      </c>
      <c r="AN55" s="70"/>
    </row>
    <row r="56" spans="1:40" ht="12.75" customHeight="1" x14ac:dyDescent="0.25">
      <c r="A56" s="16"/>
      <c r="B56" s="45"/>
      <c r="C56" s="45"/>
      <c r="D56" s="45"/>
      <c r="E56" s="4"/>
      <c r="F56" s="579"/>
      <c r="G56" s="579"/>
      <c r="H56" s="579"/>
      <c r="I56" s="579"/>
      <c r="J56" s="46"/>
      <c r="K56" s="543"/>
      <c r="L56" s="543"/>
      <c r="M56" s="543"/>
      <c r="N56" s="543"/>
      <c r="O56" s="46"/>
      <c r="P56" s="39"/>
      <c r="Q56" s="4"/>
      <c r="R56" s="4"/>
      <c r="S56" s="4"/>
      <c r="T56" s="2"/>
      <c r="AN56" s="70"/>
    </row>
    <row r="57" spans="1:40" x14ac:dyDescent="0.25">
      <c r="A57" s="16"/>
      <c r="B57" s="45"/>
      <c r="C57" s="45"/>
      <c r="D57" s="45"/>
      <c r="E57" s="4"/>
      <c r="F57" s="579"/>
      <c r="G57" s="579"/>
      <c r="H57" s="579"/>
      <c r="I57" s="579"/>
      <c r="J57" s="46"/>
      <c r="K57" s="543"/>
      <c r="L57" s="543"/>
      <c r="M57" s="543"/>
      <c r="N57" s="543"/>
      <c r="O57" s="32"/>
      <c r="P57" s="36"/>
      <c r="Q57" s="4"/>
      <c r="R57" s="4"/>
      <c r="S57" s="4"/>
      <c r="T57" s="2"/>
      <c r="AN57" s="70">
        <v>1</v>
      </c>
    </row>
    <row r="58" spans="1:40" ht="12" customHeight="1" x14ac:dyDescent="0.25">
      <c r="A58" s="16"/>
      <c r="B58" s="45"/>
      <c r="C58" s="45"/>
      <c r="D58" s="45"/>
      <c r="E58" s="4"/>
      <c r="F58" s="579"/>
      <c r="G58" s="579"/>
      <c r="H58" s="579"/>
      <c r="I58" s="579"/>
      <c r="J58" s="46"/>
      <c r="K58" s="543"/>
      <c r="L58" s="543"/>
      <c r="M58" s="543"/>
      <c r="N58" s="543"/>
      <c r="O58" s="32"/>
      <c r="P58" s="36"/>
      <c r="Q58" s="4"/>
      <c r="R58" s="4"/>
      <c r="S58" s="4"/>
      <c r="T58" s="2"/>
      <c r="AM58" t="s">
        <v>121</v>
      </c>
      <c r="AN58" s="70"/>
    </row>
    <row r="59" spans="1:40" ht="67.5" customHeight="1" x14ac:dyDescent="0.25">
      <c r="A59" s="40"/>
      <c r="B59" s="58"/>
      <c r="C59" s="58"/>
      <c r="D59" s="58"/>
      <c r="E59" s="17"/>
      <c r="F59" s="566"/>
      <c r="G59" s="566"/>
      <c r="H59" s="566"/>
      <c r="I59" s="566"/>
      <c r="J59" s="72"/>
      <c r="K59" s="59"/>
      <c r="L59" s="59"/>
      <c r="M59" s="59"/>
      <c r="N59" s="60"/>
      <c r="O59" s="60"/>
      <c r="P59" s="61"/>
      <c r="Q59" s="16"/>
      <c r="R59" s="4"/>
      <c r="S59" s="4"/>
      <c r="T59" s="2"/>
      <c r="AM59" t="s">
        <v>113</v>
      </c>
      <c r="AN59" s="70"/>
    </row>
    <row r="60" spans="1:40" ht="12" customHeight="1" x14ac:dyDescent="0.25">
      <c r="A60" s="16"/>
      <c r="B60" s="11"/>
      <c r="C60" s="11"/>
      <c r="D60" s="11"/>
      <c r="E60" s="4"/>
      <c r="F60" s="11"/>
      <c r="G60" s="11"/>
      <c r="H60" s="11"/>
      <c r="I60" s="11"/>
      <c r="J60" s="11"/>
      <c r="K60" s="4"/>
      <c r="L60" s="4"/>
      <c r="M60" s="4"/>
      <c r="N60" s="4"/>
      <c r="O60" s="4"/>
      <c r="P60" s="62"/>
      <c r="Q60" s="4"/>
      <c r="R60" s="4"/>
      <c r="S60" s="4"/>
      <c r="T60" s="2"/>
      <c r="AN60" s="70"/>
    </row>
    <row r="61" spans="1:40" ht="14.25" customHeight="1" x14ac:dyDescent="0.25">
      <c r="A61" s="4"/>
      <c r="B61" s="4"/>
      <c r="C61" s="4"/>
      <c r="D61" s="4"/>
      <c r="E61" s="4"/>
      <c r="F61" s="4"/>
      <c r="G61" s="4"/>
      <c r="H61" s="4"/>
      <c r="I61" s="4"/>
      <c r="J61" s="4"/>
      <c r="K61" s="4"/>
      <c r="L61" s="4"/>
      <c r="M61" s="4"/>
      <c r="N61" s="4"/>
      <c r="O61" s="4"/>
      <c r="P61" s="4"/>
      <c r="Q61" s="4"/>
    </row>
    <row r="62" spans="1:40" x14ac:dyDescent="0.25">
      <c r="A62" s="4"/>
      <c r="B62" s="2"/>
      <c r="C62" s="2"/>
      <c r="D62" s="2"/>
      <c r="E62" s="2"/>
      <c r="F62" s="2"/>
      <c r="G62" s="2"/>
      <c r="H62" s="2"/>
      <c r="I62" s="2"/>
      <c r="J62" s="4"/>
      <c r="K62" s="2"/>
      <c r="L62" s="2"/>
      <c r="M62" s="2"/>
      <c r="N62" s="2"/>
      <c r="O62" s="2"/>
      <c r="P62" s="2"/>
      <c r="Q62" s="2"/>
    </row>
  </sheetData>
  <sheetProtection sheet="1" objects="1" scenarios="1"/>
  <mergeCells count="27">
    <mergeCell ref="B52:D53"/>
    <mergeCell ref="F52:I59"/>
    <mergeCell ref="N33:N35"/>
    <mergeCell ref="K39:N40"/>
    <mergeCell ref="B39:D40"/>
    <mergeCell ref="K52:N58"/>
    <mergeCell ref="A1:P2"/>
    <mergeCell ref="F39:I40"/>
    <mergeCell ref="D6:E6"/>
    <mergeCell ref="D5:E5"/>
    <mergeCell ref="B16:E17"/>
    <mergeCell ref="G16:J17"/>
    <mergeCell ref="B31:E32"/>
    <mergeCell ref="D21:E21"/>
    <mergeCell ref="L33:M35"/>
    <mergeCell ref="B27:E28"/>
    <mergeCell ref="H4:O8"/>
    <mergeCell ref="D7:E7"/>
    <mergeCell ref="B23:E25"/>
    <mergeCell ref="D8:E8"/>
    <mergeCell ref="D12:E12"/>
    <mergeCell ref="G27:K28"/>
    <mergeCell ref="L31:O32"/>
    <mergeCell ref="L14:N15"/>
    <mergeCell ref="L16:N17"/>
    <mergeCell ref="N19:P20"/>
    <mergeCell ref="O41:P47"/>
  </mergeCells>
  <phoneticPr fontId="7" type="noConversion"/>
  <conditionalFormatting sqref="O30">
    <cfRule type="cellIs" dxfId="44" priority="18" stopIfTrue="1" operator="equal">
      <formula>""""""</formula>
    </cfRule>
    <cfRule type="cellIs" dxfId="43" priority="19" stopIfTrue="1" operator="between">
      <formula>23.1</formula>
      <formula>1000000</formula>
    </cfRule>
  </conditionalFormatting>
  <conditionalFormatting sqref="O21">
    <cfRule type="cellIs" dxfId="42" priority="20" stopIfTrue="1" operator="greaterThan">
      <formula>$N$12</formula>
    </cfRule>
  </conditionalFormatting>
  <conditionalFormatting sqref="H42:H51">
    <cfRule type="expression" dxfId="41" priority="21" stopIfTrue="1">
      <formula>F42=""</formula>
    </cfRule>
    <cfRule type="cellIs" dxfId="40" priority="22" stopIfTrue="1" operator="lessThanOrEqual">
      <formula>$E$22</formula>
    </cfRule>
  </conditionalFormatting>
  <conditionalFormatting sqref="N42">
    <cfRule type="expression" dxfId="39" priority="23" stopIfTrue="1">
      <formula>$L$42=""</formula>
    </cfRule>
    <cfRule type="cellIs" dxfId="38" priority="24" stopIfTrue="1" operator="lessThanOrEqual">
      <formula>$E$22</formula>
    </cfRule>
  </conditionalFormatting>
  <conditionalFormatting sqref="N43">
    <cfRule type="expression" dxfId="37" priority="25" stopIfTrue="1">
      <formula>$L$43=""</formula>
    </cfRule>
    <cfRule type="cellIs" dxfId="36" priority="26" stopIfTrue="1" operator="lessThan">
      <formula>$N$42</formula>
    </cfRule>
    <cfRule type="cellIs" dxfId="35" priority="27" stopIfTrue="1" operator="lessThanOrEqual">
      <formula>$E$22</formula>
    </cfRule>
  </conditionalFormatting>
  <conditionalFormatting sqref="N44">
    <cfRule type="expression" dxfId="34" priority="28" stopIfTrue="1">
      <formula>$L$44=""</formula>
    </cfRule>
    <cfRule type="cellIs" dxfId="33" priority="29" stopIfTrue="1" operator="lessThan">
      <formula>$N$43</formula>
    </cfRule>
    <cfRule type="cellIs" dxfId="32" priority="30" stopIfTrue="1" operator="lessThanOrEqual">
      <formula>$E$22</formula>
    </cfRule>
  </conditionalFormatting>
  <conditionalFormatting sqref="N45">
    <cfRule type="expression" dxfId="31" priority="31" stopIfTrue="1">
      <formula>$L$45=""</formula>
    </cfRule>
    <cfRule type="cellIs" dxfId="30" priority="32" stopIfTrue="1" operator="lessThan">
      <formula>$N$44</formula>
    </cfRule>
    <cfRule type="cellIs" dxfId="29" priority="33" stopIfTrue="1" operator="lessThanOrEqual">
      <formula>$E$22</formula>
    </cfRule>
  </conditionalFormatting>
  <conditionalFormatting sqref="N46">
    <cfRule type="expression" dxfId="28" priority="34" stopIfTrue="1">
      <formula>$L$46=""</formula>
    </cfRule>
    <cfRule type="cellIs" dxfId="27" priority="35" stopIfTrue="1" operator="lessThan">
      <formula>$N$45</formula>
    </cfRule>
    <cfRule type="cellIs" dxfId="26" priority="36" stopIfTrue="1" operator="lessThanOrEqual">
      <formula>$E$22</formula>
    </cfRule>
  </conditionalFormatting>
  <conditionalFormatting sqref="N47">
    <cfRule type="expression" dxfId="25" priority="37" stopIfTrue="1">
      <formula>$L$47=""</formula>
    </cfRule>
    <cfRule type="cellIs" dxfId="24" priority="38" stopIfTrue="1" operator="lessThan">
      <formula>$N$46</formula>
    </cfRule>
    <cfRule type="cellIs" dxfId="23" priority="39" stopIfTrue="1" operator="lessThanOrEqual">
      <formula>$E$22</formula>
    </cfRule>
  </conditionalFormatting>
  <conditionalFormatting sqref="N48">
    <cfRule type="expression" dxfId="22" priority="40" stopIfTrue="1">
      <formula>$L$48=""</formula>
    </cfRule>
    <cfRule type="cellIs" dxfId="21" priority="41" stopIfTrue="1" operator="lessThan">
      <formula>$N$47</formula>
    </cfRule>
    <cfRule type="cellIs" dxfId="20" priority="42" stopIfTrue="1" operator="lessThanOrEqual">
      <formula>$E$22</formula>
    </cfRule>
  </conditionalFormatting>
  <conditionalFormatting sqref="N49">
    <cfRule type="expression" dxfId="19" priority="43" stopIfTrue="1">
      <formula>$L$49=""</formula>
    </cfRule>
    <cfRule type="cellIs" dxfId="18" priority="44" stopIfTrue="1" operator="lessThan">
      <formula>$N$48</formula>
    </cfRule>
    <cfRule type="cellIs" dxfId="17" priority="45" stopIfTrue="1" operator="lessThanOrEqual">
      <formula>$E$22</formula>
    </cfRule>
  </conditionalFormatting>
  <conditionalFormatting sqref="N50">
    <cfRule type="expression" dxfId="16" priority="46" stopIfTrue="1">
      <formula>$L$50=""</formula>
    </cfRule>
    <cfRule type="cellIs" dxfId="15" priority="47" stopIfTrue="1" operator="lessThan">
      <formula>$N$49</formula>
    </cfRule>
    <cfRule type="cellIs" dxfId="14" priority="48" stopIfTrue="1" operator="lessThanOrEqual">
      <formula>$E$22</formula>
    </cfRule>
  </conditionalFormatting>
  <conditionalFormatting sqref="N51">
    <cfRule type="expression" dxfId="13" priority="49" stopIfTrue="1">
      <formula>$L$51=""</formula>
    </cfRule>
    <cfRule type="cellIs" dxfId="12" priority="50" stopIfTrue="1" operator="lessThan">
      <formula>$N$50</formula>
    </cfRule>
    <cfRule type="cellIs" dxfId="11" priority="51" stopIfTrue="1" operator="lessThan">
      <formula>$E$22</formula>
    </cfRule>
  </conditionalFormatting>
  <conditionalFormatting sqref="J26">
    <cfRule type="expression" dxfId="10" priority="52" stopIfTrue="1">
      <formula>$E$22=""</formula>
    </cfRule>
    <cfRule type="cellIs" dxfId="9" priority="53" stopIfTrue="1" operator="between">
      <formula>5</formula>
      <formula>1000000</formula>
    </cfRule>
  </conditionalFormatting>
  <conditionalFormatting sqref="N13">
    <cfRule type="expression" dxfId="8" priority="54" stopIfTrue="1">
      <formula>"n12="""""</formula>
    </cfRule>
    <cfRule type="cellIs" dxfId="7" priority="55" stopIfTrue="1" operator="lessThan">
      <formula>$E$15</formula>
    </cfRule>
  </conditionalFormatting>
  <conditionalFormatting sqref="O25">
    <cfRule type="expression" dxfId="6" priority="172" stopIfTrue="1">
      <formula>$O$23=""</formula>
    </cfRule>
    <cfRule type="cellIs" dxfId="5" priority="173" stopIfTrue="1" operator="greaterThan">
      <formula>$J$30</formula>
    </cfRule>
  </conditionalFormatting>
  <conditionalFormatting sqref="I42:I51">
    <cfRule type="expression" dxfId="4" priority="174" stopIfTrue="1">
      <formula>$F42=""</formula>
    </cfRule>
    <cfRule type="cellIs" dxfId="3" priority="175" stopIfTrue="1" operator="greaterThanOrEqual">
      <formula>MIN($E$26,$J$30)</formula>
    </cfRule>
    <cfRule type="cellIs" dxfId="2" priority="176" stopIfTrue="1" operator="between">
      <formula>0.1</formula>
      <formula>$E$30</formula>
    </cfRule>
  </conditionalFormatting>
  <conditionalFormatting sqref="N43:N51">
    <cfRule type="expression" dxfId="1" priority="1" stopIfTrue="1">
      <formula>$L$42=""</formula>
    </cfRule>
    <cfRule type="cellIs" dxfId="0" priority="2" stopIfTrue="1" operator="lessThanOrEqual">
      <formula>$E$22</formula>
    </cfRule>
  </conditionalFormatting>
  <printOptions horizontalCentered="1"/>
  <pageMargins left="0.61" right="0.5" top="0.61" bottom="0.56000000000000005" header="0.5" footer="0.5"/>
  <pageSetup scale="53" orientation="landscape" r:id="rId1"/>
  <headerFooter alignWithMargins="0"/>
  <ignoredErrors>
    <ignoredError sqref="BL20:BL23 BN20:BN23 BM20:BM23"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ClearPEData">
                <anchor moveWithCells="1">
                  <from>
                    <xdr:col>14</xdr:col>
                    <xdr:colOff>411480</xdr:colOff>
                    <xdr:row>49</xdr:row>
                    <xdr:rowOff>182880</xdr:rowOff>
                  </from>
                  <to>
                    <xdr:col>15</xdr:col>
                    <xdr:colOff>487680</xdr:colOff>
                    <xdr:row>50</xdr:row>
                    <xdr:rowOff>175260</xdr:rowOff>
                  </to>
                </anchor>
              </controlPr>
            </control>
          </mc:Choice>
        </mc:AlternateContent>
        <mc:AlternateContent xmlns:mc="http://schemas.openxmlformats.org/markup-compatibility/2006">
          <mc:Choice Requires="x14">
            <control shapeId="3085" r:id="rId5" name="Button 13">
              <controlPr defaultSize="0" print="0" autoFill="0" autoPict="0" macro="[0]!PrintGravity">
                <anchor moveWithCells="1">
                  <from>
                    <xdr:col>14</xdr:col>
                    <xdr:colOff>411480</xdr:colOff>
                    <xdr:row>48</xdr:row>
                    <xdr:rowOff>38100</xdr:rowOff>
                  </from>
                  <to>
                    <xdr:col>15</xdr:col>
                    <xdr:colOff>495300</xdr:colOff>
                    <xdr:row>49</xdr:row>
                    <xdr:rowOff>30480</xdr:rowOff>
                  </to>
                </anchor>
              </controlPr>
            </control>
          </mc:Choice>
        </mc:AlternateContent>
        <mc:AlternateContent xmlns:mc="http://schemas.openxmlformats.org/markup-compatibility/2006">
          <mc:Choice Requires="x14">
            <control shapeId="3088" r:id="rId6" name="Drop Down 16">
              <controlPr locked="0" defaultSize="0" autoLine="0" autoPict="0">
                <anchor moveWithCells="1">
                  <from>
                    <xdr:col>3</xdr:col>
                    <xdr:colOff>0</xdr:colOff>
                    <xdr:row>21</xdr:row>
                    <xdr:rowOff>0</xdr:rowOff>
                  </from>
                  <to>
                    <xdr:col>3</xdr:col>
                    <xdr:colOff>1150620</xdr:colOff>
                    <xdr:row>21</xdr:row>
                    <xdr:rowOff>198120</xdr:rowOff>
                  </to>
                </anchor>
              </controlPr>
            </control>
          </mc:Choice>
        </mc:AlternateContent>
        <mc:AlternateContent xmlns:mc="http://schemas.openxmlformats.org/markup-compatibility/2006">
          <mc:Choice Requires="x14">
            <control shapeId="3091" r:id="rId7" name="Drop Down 19">
              <controlPr locked="0" defaultSize="0" autoLine="0" autoPict="0">
                <anchor moveWithCells="1">
                  <from>
                    <xdr:col>1</xdr:col>
                    <xdr:colOff>7620</xdr:colOff>
                    <xdr:row>41</xdr:row>
                    <xdr:rowOff>0</xdr:rowOff>
                  </from>
                  <to>
                    <xdr:col>1</xdr:col>
                    <xdr:colOff>1074420</xdr:colOff>
                    <xdr:row>41</xdr:row>
                    <xdr:rowOff>198120</xdr:rowOff>
                  </to>
                </anchor>
              </controlPr>
            </control>
          </mc:Choice>
        </mc:AlternateContent>
        <mc:AlternateContent xmlns:mc="http://schemas.openxmlformats.org/markup-compatibility/2006">
          <mc:Choice Requires="x14">
            <control shapeId="3101" r:id="rId8" name="Drop Down 29">
              <controlPr locked="0" defaultSize="0" autoLine="0" autoPict="0">
                <anchor moveWithCells="1">
                  <from>
                    <xdr:col>1</xdr:col>
                    <xdr:colOff>7620</xdr:colOff>
                    <xdr:row>42</xdr:row>
                    <xdr:rowOff>0</xdr:rowOff>
                  </from>
                  <to>
                    <xdr:col>1</xdr:col>
                    <xdr:colOff>1074420</xdr:colOff>
                    <xdr:row>42</xdr:row>
                    <xdr:rowOff>198120</xdr:rowOff>
                  </to>
                </anchor>
              </controlPr>
            </control>
          </mc:Choice>
        </mc:AlternateContent>
        <mc:AlternateContent xmlns:mc="http://schemas.openxmlformats.org/markup-compatibility/2006">
          <mc:Choice Requires="x14">
            <control shapeId="3102" r:id="rId9" name="Drop Down 30">
              <controlPr locked="0" defaultSize="0" autoLine="0" autoPict="0">
                <anchor moveWithCells="1">
                  <from>
                    <xdr:col>1</xdr:col>
                    <xdr:colOff>7620</xdr:colOff>
                    <xdr:row>43</xdr:row>
                    <xdr:rowOff>0</xdr:rowOff>
                  </from>
                  <to>
                    <xdr:col>1</xdr:col>
                    <xdr:colOff>1074420</xdr:colOff>
                    <xdr:row>43</xdr:row>
                    <xdr:rowOff>198120</xdr:rowOff>
                  </to>
                </anchor>
              </controlPr>
            </control>
          </mc:Choice>
        </mc:AlternateContent>
        <mc:AlternateContent xmlns:mc="http://schemas.openxmlformats.org/markup-compatibility/2006">
          <mc:Choice Requires="x14">
            <control shapeId="3103" r:id="rId10" name="Drop Down 31">
              <controlPr locked="0" defaultSize="0" autoLine="0" autoPict="0">
                <anchor moveWithCells="1">
                  <from>
                    <xdr:col>1</xdr:col>
                    <xdr:colOff>7620</xdr:colOff>
                    <xdr:row>44</xdr:row>
                    <xdr:rowOff>0</xdr:rowOff>
                  </from>
                  <to>
                    <xdr:col>1</xdr:col>
                    <xdr:colOff>1074420</xdr:colOff>
                    <xdr:row>44</xdr:row>
                    <xdr:rowOff>198120</xdr:rowOff>
                  </to>
                </anchor>
              </controlPr>
            </control>
          </mc:Choice>
        </mc:AlternateContent>
        <mc:AlternateContent xmlns:mc="http://schemas.openxmlformats.org/markup-compatibility/2006">
          <mc:Choice Requires="x14">
            <control shapeId="3104" r:id="rId11" name="Drop Down 32">
              <controlPr locked="0" defaultSize="0" autoLine="0" autoPict="0">
                <anchor moveWithCells="1">
                  <from>
                    <xdr:col>1</xdr:col>
                    <xdr:colOff>7620</xdr:colOff>
                    <xdr:row>45</xdr:row>
                    <xdr:rowOff>0</xdr:rowOff>
                  </from>
                  <to>
                    <xdr:col>1</xdr:col>
                    <xdr:colOff>1074420</xdr:colOff>
                    <xdr:row>45</xdr:row>
                    <xdr:rowOff>198120</xdr:rowOff>
                  </to>
                </anchor>
              </controlPr>
            </control>
          </mc:Choice>
        </mc:AlternateContent>
        <mc:AlternateContent xmlns:mc="http://schemas.openxmlformats.org/markup-compatibility/2006">
          <mc:Choice Requires="x14">
            <control shapeId="3105" r:id="rId12" name="Drop Down 33">
              <controlPr locked="0" defaultSize="0" autoLine="0" autoPict="0">
                <anchor moveWithCells="1">
                  <from>
                    <xdr:col>1</xdr:col>
                    <xdr:colOff>7620</xdr:colOff>
                    <xdr:row>46</xdr:row>
                    <xdr:rowOff>0</xdr:rowOff>
                  </from>
                  <to>
                    <xdr:col>1</xdr:col>
                    <xdr:colOff>1074420</xdr:colOff>
                    <xdr:row>46</xdr:row>
                    <xdr:rowOff>198120</xdr:rowOff>
                  </to>
                </anchor>
              </controlPr>
            </control>
          </mc:Choice>
        </mc:AlternateContent>
        <mc:AlternateContent xmlns:mc="http://schemas.openxmlformats.org/markup-compatibility/2006">
          <mc:Choice Requires="x14">
            <control shapeId="3106" r:id="rId13" name="Drop Down 34">
              <controlPr locked="0" defaultSize="0" autoLine="0" autoPict="0">
                <anchor moveWithCells="1">
                  <from>
                    <xdr:col>1</xdr:col>
                    <xdr:colOff>7620</xdr:colOff>
                    <xdr:row>47</xdr:row>
                    <xdr:rowOff>0</xdr:rowOff>
                  </from>
                  <to>
                    <xdr:col>1</xdr:col>
                    <xdr:colOff>1074420</xdr:colOff>
                    <xdr:row>47</xdr:row>
                    <xdr:rowOff>198120</xdr:rowOff>
                  </to>
                </anchor>
              </controlPr>
            </control>
          </mc:Choice>
        </mc:AlternateContent>
        <mc:AlternateContent xmlns:mc="http://schemas.openxmlformats.org/markup-compatibility/2006">
          <mc:Choice Requires="x14">
            <control shapeId="3107" r:id="rId14" name="Drop Down 35">
              <controlPr locked="0" defaultSize="0" autoLine="0" autoPict="0">
                <anchor moveWithCells="1">
                  <from>
                    <xdr:col>1</xdr:col>
                    <xdr:colOff>7620</xdr:colOff>
                    <xdr:row>48</xdr:row>
                    <xdr:rowOff>0</xdr:rowOff>
                  </from>
                  <to>
                    <xdr:col>1</xdr:col>
                    <xdr:colOff>1074420</xdr:colOff>
                    <xdr:row>48</xdr:row>
                    <xdr:rowOff>198120</xdr:rowOff>
                  </to>
                </anchor>
              </controlPr>
            </control>
          </mc:Choice>
        </mc:AlternateContent>
        <mc:AlternateContent xmlns:mc="http://schemas.openxmlformats.org/markup-compatibility/2006">
          <mc:Choice Requires="x14">
            <control shapeId="3108" r:id="rId15" name="Drop Down 36">
              <controlPr locked="0" defaultSize="0" autoLine="0" autoPict="0">
                <anchor moveWithCells="1">
                  <from>
                    <xdr:col>1</xdr:col>
                    <xdr:colOff>7620</xdr:colOff>
                    <xdr:row>49</xdr:row>
                    <xdr:rowOff>0</xdr:rowOff>
                  </from>
                  <to>
                    <xdr:col>1</xdr:col>
                    <xdr:colOff>1074420</xdr:colOff>
                    <xdr:row>49</xdr:row>
                    <xdr:rowOff>198120</xdr:rowOff>
                  </to>
                </anchor>
              </controlPr>
            </control>
          </mc:Choice>
        </mc:AlternateContent>
        <mc:AlternateContent xmlns:mc="http://schemas.openxmlformats.org/markup-compatibility/2006">
          <mc:Choice Requires="x14">
            <control shapeId="3109" r:id="rId16" name="Drop Down 37">
              <controlPr locked="0" defaultSize="0" autoLine="0" autoPict="0">
                <anchor moveWithCells="1">
                  <from>
                    <xdr:col>1</xdr:col>
                    <xdr:colOff>7620</xdr:colOff>
                    <xdr:row>50</xdr:row>
                    <xdr:rowOff>0</xdr:rowOff>
                  </from>
                  <to>
                    <xdr:col>1</xdr:col>
                    <xdr:colOff>1074420</xdr:colOff>
                    <xdr:row>50</xdr:row>
                    <xdr:rowOff>198120</xdr:rowOff>
                  </to>
                </anchor>
              </controlPr>
            </control>
          </mc:Choice>
        </mc:AlternateContent>
        <mc:AlternateContent xmlns:mc="http://schemas.openxmlformats.org/markup-compatibility/2006">
          <mc:Choice Requires="x14">
            <control shapeId="3113" r:id="rId17" name="Button 41">
              <controlPr defaultSize="0" print="0" autoFill="0" autoPict="0" macro="[0]!ClearPEData">
                <anchor moveWithCells="1">
                  <from>
                    <xdr:col>5</xdr:col>
                    <xdr:colOff>579120</xdr:colOff>
                    <xdr:row>6</xdr:row>
                    <xdr:rowOff>144780</xdr:rowOff>
                  </from>
                  <to>
                    <xdr:col>6</xdr:col>
                    <xdr:colOff>312420</xdr:colOff>
                    <xdr:row>8</xdr:row>
                    <xdr:rowOff>7620</xdr:rowOff>
                  </to>
                </anchor>
              </controlPr>
            </control>
          </mc:Choice>
        </mc:AlternateContent>
        <mc:AlternateContent xmlns:mc="http://schemas.openxmlformats.org/markup-compatibility/2006">
          <mc:Choice Requires="x14">
            <control shapeId="3114" r:id="rId18" name="Button 42">
              <controlPr defaultSize="0" print="0" autoFill="0" autoPict="0" macro="[0]!PrintGravity">
                <anchor moveWithCells="1">
                  <from>
                    <xdr:col>5</xdr:col>
                    <xdr:colOff>579120</xdr:colOff>
                    <xdr:row>4</xdr:row>
                    <xdr:rowOff>114300</xdr:rowOff>
                  </from>
                  <to>
                    <xdr:col>6</xdr:col>
                    <xdr:colOff>327660</xdr:colOff>
                    <xdr:row>5</xdr:row>
                    <xdr:rowOff>152400</xdr:rowOff>
                  </to>
                </anchor>
              </controlPr>
            </control>
          </mc:Choice>
        </mc:AlternateContent>
        <mc:AlternateContent xmlns:mc="http://schemas.openxmlformats.org/markup-compatibility/2006">
          <mc:Choice Requires="x14">
            <control shapeId="3115" r:id="rId19" name="Drop Down 43">
              <controlPr defaultSize="0" autoLine="0" autoPict="0">
                <anchor moveWithCells="1">
                  <from>
                    <xdr:col>9</xdr:col>
                    <xdr:colOff>0</xdr:colOff>
                    <xdr:row>21</xdr:row>
                    <xdr:rowOff>7620</xdr:rowOff>
                  </from>
                  <to>
                    <xdr:col>10</xdr:col>
                    <xdr:colOff>0</xdr:colOff>
                    <xdr:row>21</xdr:row>
                    <xdr:rowOff>213360</xdr:rowOff>
                  </to>
                </anchor>
              </controlPr>
            </control>
          </mc:Choice>
        </mc:AlternateContent>
        <mc:AlternateContent xmlns:mc="http://schemas.openxmlformats.org/markup-compatibility/2006">
          <mc:Choice Requires="x14">
            <control shapeId="3116" r:id="rId20" name="Drop Down 44">
              <controlPr defaultSize="0" autoLine="0" autoPict="0">
                <anchor moveWithCells="1">
                  <from>
                    <xdr:col>8</xdr:col>
                    <xdr:colOff>289560</xdr:colOff>
                    <xdr:row>19</xdr:row>
                    <xdr:rowOff>312420</xdr:rowOff>
                  </from>
                  <to>
                    <xdr:col>9</xdr:col>
                    <xdr:colOff>708660</xdr:colOff>
                    <xdr:row>21</xdr:row>
                    <xdr:rowOff>22860</xdr:rowOff>
                  </to>
                </anchor>
              </controlPr>
            </control>
          </mc:Choice>
        </mc:AlternateContent>
        <mc:AlternateContent xmlns:mc="http://schemas.openxmlformats.org/markup-compatibility/2006">
          <mc:Choice Requires="x14">
            <control shapeId="3117" r:id="rId21" name="Drop Down 45">
              <controlPr defaultSize="0" autoLine="0" autoPict="0">
                <anchor moveWithCells="1">
                  <from>
                    <xdr:col>3</xdr:col>
                    <xdr:colOff>0</xdr:colOff>
                    <xdr:row>21</xdr:row>
                    <xdr:rowOff>0</xdr:rowOff>
                  </from>
                  <to>
                    <xdr:col>4</xdr:col>
                    <xdr:colOff>0</xdr:colOff>
                    <xdr:row>22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D21"/>
  <sheetViews>
    <sheetView zoomScaleNormal="100" workbookViewId="0"/>
  </sheetViews>
  <sheetFormatPr defaultRowHeight="13.2" x14ac:dyDescent="0.25"/>
  <sheetData>
    <row r="1" spans="1:4" ht="17.399999999999999" x14ac:dyDescent="0.3">
      <c r="A1" s="466" t="s">
        <v>244</v>
      </c>
      <c r="B1" s="466"/>
      <c r="C1" s="466"/>
      <c r="D1" s="466"/>
    </row>
    <row r="2" spans="1:4" s="464" customFormat="1" x14ac:dyDescent="0.25">
      <c r="A2" s="56"/>
    </row>
    <row r="3" spans="1:4" s="464" customFormat="1" x14ac:dyDescent="0.25">
      <c r="A3" s="56"/>
    </row>
    <row r="4" spans="1:4" s="464" customFormat="1" x14ac:dyDescent="0.25">
      <c r="A4" s="56"/>
    </row>
    <row r="5" spans="1:4" s="464" customFormat="1" x14ac:dyDescent="0.25">
      <c r="A5" s="56" t="s">
        <v>252</v>
      </c>
    </row>
    <row r="8" spans="1:4" x14ac:dyDescent="0.25">
      <c r="A8" s="56" t="s">
        <v>248</v>
      </c>
    </row>
    <row r="9" spans="1:4" x14ac:dyDescent="0.25">
      <c r="A9" s="56" t="s">
        <v>247</v>
      </c>
    </row>
    <row r="10" spans="1:4" x14ac:dyDescent="0.25">
      <c r="A10" s="56" t="s">
        <v>245</v>
      </c>
    </row>
    <row r="11" spans="1:4" x14ac:dyDescent="0.25">
      <c r="A11" s="56" t="s">
        <v>246</v>
      </c>
    </row>
    <row r="14" spans="1:4" x14ac:dyDescent="0.25">
      <c r="A14" s="56" t="s">
        <v>249</v>
      </c>
    </row>
    <row r="15" spans="1:4" x14ac:dyDescent="0.25">
      <c r="B15" s="56" t="s">
        <v>250</v>
      </c>
      <c r="C15">
        <v>1.0999999999999999E-2</v>
      </c>
    </row>
    <row r="16" spans="1:4" x14ac:dyDescent="0.25">
      <c r="B16" s="56" t="s">
        <v>251</v>
      </c>
      <c r="C16">
        <v>1.2E-2</v>
      </c>
    </row>
    <row r="18" spans="1:2" x14ac:dyDescent="0.25">
      <c r="B18" s="56" t="s">
        <v>253</v>
      </c>
    </row>
    <row r="21" spans="1:2" x14ac:dyDescent="0.25">
      <c r="A21" s="56" t="s">
        <v>256</v>
      </c>
    </row>
  </sheetData>
  <sheetProtection sheet="1" objects="1" scenario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631B277A84C984891047840745ED052" ma:contentTypeVersion="14" ma:contentTypeDescription="Create a new document." ma:contentTypeScope="" ma:versionID="f70995893cf3272905592e99682522e4">
  <xsd:schema xmlns:xsd="http://www.w3.org/2001/XMLSchema" xmlns:xs="http://www.w3.org/2001/XMLSchema" xmlns:p="http://schemas.microsoft.com/office/2006/metadata/properties" xmlns:ns2="7ede8f0f-3b41-4156-aba0-f23b62b536a2" targetNamespace="http://schemas.microsoft.com/office/2006/metadata/properties" ma:root="true" ma:fieldsID="0275b6df8e7797cffbd12f26dac22bf9" ns2:_="">
    <xsd:import namespace="7ede8f0f-3b41-4156-aba0-f23b62b536a2"/>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ede8f0f-3b41-4156-aba0-f23b62b536a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CF5B82DD-A8DA-499A-83D9-3687C6F7D57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ede8f0f-3b41-4156-aba0-f23b62b536a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5B5026-7B65-4A7F-9FBB-E602199B56D4}">
  <ds:schemaRefs>
    <ds:schemaRef ds:uri="http://schemas.microsoft.com/sharepoint/v3/contenttype/forms"/>
  </ds:schemaRefs>
</ds:datastoreItem>
</file>

<file path=customXml/itemProps3.xml><?xml version="1.0" encoding="utf-8"?>
<ds:datastoreItem xmlns:ds="http://schemas.openxmlformats.org/officeDocument/2006/customXml" ds:itemID="{7C715C28-69F2-4896-A6BA-0267A45E859F}">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7ede8f0f-3b41-4156-aba0-f23b62b536a2"/>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Pressure System</vt:lpstr>
      <vt:lpstr>Public Water Connection</vt:lpstr>
      <vt:lpstr>Gravity System</vt:lpstr>
      <vt:lpstr>January 2022 Update Notes</vt:lpstr>
      <vt:lpstr>'Gravity System'!Print_Area</vt:lpstr>
      <vt:lpstr>'Pressure System'!Print_Area</vt:lpstr>
      <vt:lpstr>'Public Water Connection'!Print_Area</vt:lpstr>
    </vt:vector>
  </TitlesOfParts>
  <Company>NRCS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Sharyl Walker</dc:creator>
  <cp:lastModifiedBy>Mary Bishop</cp:lastModifiedBy>
  <cp:lastPrinted>2021-10-20T15:34:47Z</cp:lastPrinted>
  <dcterms:created xsi:type="dcterms:W3CDTF">2001-09-18T20:03:26Z</dcterms:created>
  <dcterms:modified xsi:type="dcterms:W3CDTF">2022-06-06T19:19:33Z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0x0101005631B277A84C984891047840745ED052</vt:lpwstr>
  </property>
</Properties>
</file>